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0" windowWidth="16100" windowHeight="9660" firstSheet="1" activeTab="3"/>
  </bookViews>
  <sheets>
    <sheet name="Sheet1" sheetId="5" r:id="rId1"/>
    <sheet name="Sheet2" sheetId="6" r:id="rId2"/>
    <sheet name="Sheet3" sheetId="7" r:id="rId3"/>
    <sheet name="raw data" sheetId="1" r:id="rId4"/>
    <sheet name="formulas" sheetId="2" r:id="rId5"/>
    <sheet name="validation" sheetId="3" r:id="rId6"/>
    <sheet name="Visualization" sheetId="4" r:id="rId7"/>
  </sheets>
  <calcPr calcId="145621"/>
  <pivotCaches>
    <pivotCache cacheId="7" r:id="rId8"/>
  </pivotCaches>
</workbook>
</file>

<file path=xl/calcChain.xml><?xml version="1.0" encoding="utf-8"?>
<calcChain xmlns="http://schemas.openxmlformats.org/spreadsheetml/2006/main">
  <c r="U15" i="1" l="1" a="1"/>
  <c r="U15" i="1" s="1"/>
  <c r="O4" i="1" l="1"/>
  <c r="O3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2" i="1"/>
  <c r="B7" i="2"/>
  <c r="B4" i="2" a="1"/>
  <c r="B4" i="2" s="1"/>
  <c r="B3" i="2" a="1"/>
  <c r="B3" i="2" s="1"/>
  <c r="B2" i="2"/>
  <c r="B8" i="2" l="1"/>
  <c r="B5" i="2"/>
  <c r="P3" i="1"/>
  <c r="P7" i="1"/>
  <c r="P11" i="1"/>
  <c r="P15" i="1"/>
  <c r="P19" i="1"/>
  <c r="P23" i="1"/>
  <c r="P27" i="1"/>
  <c r="P31" i="1"/>
  <c r="P35" i="1"/>
  <c r="P39" i="1"/>
  <c r="P43" i="1"/>
  <c r="P47" i="1"/>
  <c r="P51" i="1"/>
  <c r="P55" i="1"/>
  <c r="P59" i="1"/>
  <c r="P63" i="1"/>
  <c r="P67" i="1"/>
  <c r="P71" i="1"/>
  <c r="P75" i="1"/>
  <c r="P79" i="1"/>
  <c r="P83" i="1"/>
  <c r="P87" i="1"/>
  <c r="P91" i="1"/>
  <c r="P95" i="1"/>
  <c r="P99" i="1"/>
  <c r="P103" i="1"/>
  <c r="P107" i="1"/>
  <c r="P111" i="1"/>
  <c r="P115" i="1"/>
  <c r="P119" i="1"/>
  <c r="P123" i="1"/>
  <c r="P127" i="1"/>
  <c r="P131" i="1"/>
  <c r="P135" i="1"/>
  <c r="P139" i="1"/>
  <c r="P143" i="1"/>
  <c r="P147" i="1"/>
  <c r="P151" i="1"/>
  <c r="P155" i="1"/>
  <c r="P159" i="1"/>
  <c r="P163" i="1"/>
  <c r="P167" i="1"/>
  <c r="P171" i="1"/>
  <c r="P175" i="1"/>
  <c r="P179" i="1"/>
  <c r="P4" i="1"/>
  <c r="P8" i="1"/>
  <c r="P12" i="1"/>
  <c r="P16" i="1"/>
  <c r="P20" i="1"/>
  <c r="P24" i="1"/>
  <c r="P28" i="1"/>
  <c r="P32" i="1"/>
  <c r="P36" i="1"/>
  <c r="P40" i="1"/>
  <c r="P44" i="1"/>
  <c r="P48" i="1"/>
  <c r="P52" i="1"/>
  <c r="P56" i="1"/>
  <c r="P60" i="1"/>
  <c r="P64" i="1"/>
  <c r="P68" i="1"/>
  <c r="P72" i="1"/>
  <c r="P76" i="1"/>
  <c r="P80" i="1"/>
  <c r="P84" i="1"/>
  <c r="P88" i="1"/>
  <c r="P92" i="1"/>
  <c r="P96" i="1"/>
  <c r="P100" i="1"/>
  <c r="P104" i="1"/>
  <c r="P108" i="1"/>
  <c r="P112" i="1"/>
  <c r="P116" i="1"/>
  <c r="P120" i="1"/>
  <c r="P124" i="1"/>
  <c r="P128" i="1"/>
  <c r="P132" i="1"/>
  <c r="P136" i="1"/>
  <c r="P140" i="1"/>
  <c r="P144" i="1"/>
  <c r="P148" i="1"/>
  <c r="P152" i="1"/>
  <c r="P156" i="1"/>
  <c r="P160" i="1"/>
  <c r="P164" i="1"/>
  <c r="P5" i="1"/>
  <c r="P9" i="1"/>
  <c r="P13" i="1"/>
  <c r="P17" i="1"/>
  <c r="P21" i="1"/>
  <c r="P25" i="1"/>
  <c r="P29" i="1"/>
  <c r="P33" i="1"/>
  <c r="P37" i="1"/>
  <c r="P41" i="1"/>
  <c r="P45" i="1"/>
  <c r="P49" i="1"/>
  <c r="P53" i="1"/>
  <c r="P57" i="1"/>
  <c r="P61" i="1"/>
  <c r="P65" i="1"/>
  <c r="P69" i="1"/>
  <c r="P73" i="1"/>
  <c r="P77" i="1"/>
  <c r="P81" i="1"/>
  <c r="P85" i="1"/>
  <c r="P89" i="1"/>
  <c r="P93" i="1"/>
  <c r="P97" i="1"/>
  <c r="P101" i="1"/>
  <c r="P105" i="1"/>
  <c r="P109" i="1"/>
  <c r="P113" i="1"/>
  <c r="P117" i="1"/>
  <c r="P121" i="1"/>
  <c r="P125" i="1"/>
  <c r="P129" i="1"/>
  <c r="P133" i="1"/>
  <c r="P137" i="1"/>
  <c r="P141" i="1"/>
  <c r="P145" i="1"/>
  <c r="P149" i="1"/>
  <c r="P153" i="1"/>
  <c r="P157" i="1"/>
  <c r="P161" i="1"/>
  <c r="P165" i="1"/>
  <c r="P169" i="1"/>
  <c r="P173" i="1"/>
  <c r="P177" i="1"/>
  <c r="P181" i="1"/>
  <c r="P185" i="1"/>
  <c r="P189" i="1"/>
  <c r="P193" i="1"/>
  <c r="P197" i="1"/>
  <c r="P201" i="1"/>
  <c r="P205" i="1"/>
  <c r="P209" i="1"/>
  <c r="P213" i="1"/>
  <c r="P217" i="1"/>
  <c r="P221" i="1"/>
  <c r="P225" i="1"/>
  <c r="P229" i="1"/>
  <c r="P233" i="1"/>
  <c r="P237" i="1"/>
  <c r="P241" i="1"/>
  <c r="P245" i="1"/>
  <c r="P249" i="1"/>
  <c r="P253" i="1"/>
  <c r="P257" i="1"/>
  <c r="P261" i="1"/>
  <c r="P265" i="1"/>
  <c r="P269" i="1"/>
  <c r="P273" i="1"/>
  <c r="P277" i="1"/>
  <c r="P281" i="1"/>
  <c r="P285" i="1"/>
  <c r="P289" i="1"/>
  <c r="P293" i="1"/>
  <c r="P297" i="1"/>
  <c r="P301" i="1"/>
  <c r="P305" i="1"/>
  <c r="P309" i="1"/>
  <c r="P313" i="1"/>
  <c r="P317" i="1"/>
  <c r="P321" i="1"/>
  <c r="P325" i="1"/>
  <c r="P329" i="1"/>
  <c r="P333" i="1"/>
  <c r="P337" i="1"/>
  <c r="P341" i="1"/>
  <c r="P6" i="1"/>
  <c r="P22" i="1"/>
  <c r="P38" i="1"/>
  <c r="P54" i="1"/>
  <c r="P70" i="1"/>
  <c r="P86" i="1"/>
  <c r="P102" i="1"/>
  <c r="P118" i="1"/>
  <c r="P134" i="1"/>
  <c r="P150" i="1"/>
  <c r="P166" i="1"/>
  <c r="P174" i="1"/>
  <c r="P182" i="1"/>
  <c r="P187" i="1"/>
  <c r="P192" i="1"/>
  <c r="P198" i="1"/>
  <c r="P203" i="1"/>
  <c r="P208" i="1"/>
  <c r="P214" i="1"/>
  <c r="P219" i="1"/>
  <c r="P224" i="1"/>
  <c r="P230" i="1"/>
  <c r="P235" i="1"/>
  <c r="P240" i="1"/>
  <c r="P246" i="1"/>
  <c r="P251" i="1"/>
  <c r="P256" i="1"/>
  <c r="P262" i="1"/>
  <c r="P267" i="1"/>
  <c r="P272" i="1"/>
  <c r="P278" i="1"/>
  <c r="P283" i="1"/>
  <c r="P288" i="1"/>
  <c r="P294" i="1"/>
  <c r="P299" i="1"/>
  <c r="P304" i="1"/>
  <c r="P310" i="1"/>
  <c r="P315" i="1"/>
  <c r="P320" i="1"/>
  <c r="P326" i="1"/>
  <c r="P331" i="1"/>
  <c r="P336" i="1"/>
  <c r="P342" i="1"/>
  <c r="P346" i="1"/>
  <c r="P350" i="1"/>
  <c r="P354" i="1"/>
  <c r="P358" i="1"/>
  <c r="P362" i="1"/>
  <c r="P366" i="1"/>
  <c r="P370" i="1"/>
  <c r="P374" i="1"/>
  <c r="P378" i="1"/>
  <c r="P382" i="1"/>
  <c r="P386" i="1"/>
  <c r="P390" i="1"/>
  <c r="P394" i="1"/>
  <c r="P398" i="1"/>
  <c r="P402" i="1"/>
  <c r="P406" i="1"/>
  <c r="P410" i="1"/>
  <c r="P414" i="1"/>
  <c r="P418" i="1"/>
  <c r="P422" i="1"/>
  <c r="P426" i="1"/>
  <c r="P430" i="1"/>
  <c r="P434" i="1"/>
  <c r="P438" i="1"/>
  <c r="P442" i="1"/>
  <c r="P446" i="1"/>
  <c r="P450" i="1"/>
  <c r="P454" i="1"/>
  <c r="P458" i="1"/>
  <c r="P462" i="1"/>
  <c r="P466" i="1"/>
  <c r="P470" i="1"/>
  <c r="P474" i="1"/>
  <c r="P478" i="1"/>
  <c r="P482" i="1"/>
  <c r="P486" i="1"/>
  <c r="P490" i="1"/>
  <c r="P494" i="1"/>
  <c r="P498" i="1"/>
  <c r="P2" i="1"/>
  <c r="P10" i="1"/>
  <c r="P26" i="1"/>
  <c r="P42" i="1"/>
  <c r="P58" i="1"/>
  <c r="P74" i="1"/>
  <c r="P90" i="1"/>
  <c r="P106" i="1"/>
  <c r="P122" i="1"/>
  <c r="P138" i="1"/>
  <c r="P154" i="1"/>
  <c r="P168" i="1"/>
  <c r="P176" i="1"/>
  <c r="P183" i="1"/>
  <c r="P188" i="1"/>
  <c r="P194" i="1"/>
  <c r="P199" i="1"/>
  <c r="P204" i="1"/>
  <c r="P210" i="1"/>
  <c r="P215" i="1"/>
  <c r="P220" i="1"/>
  <c r="P226" i="1"/>
  <c r="P231" i="1"/>
  <c r="P236" i="1"/>
  <c r="P242" i="1"/>
  <c r="P247" i="1"/>
  <c r="P252" i="1"/>
  <c r="P258" i="1"/>
  <c r="P263" i="1"/>
  <c r="P268" i="1"/>
  <c r="P274" i="1"/>
  <c r="P279" i="1"/>
  <c r="P284" i="1"/>
  <c r="P290" i="1"/>
  <c r="P295" i="1"/>
  <c r="P300" i="1"/>
  <c r="P306" i="1"/>
  <c r="P311" i="1"/>
  <c r="P316" i="1"/>
  <c r="P322" i="1"/>
  <c r="P327" i="1"/>
  <c r="P332" i="1"/>
  <c r="P338" i="1"/>
  <c r="P343" i="1"/>
  <c r="P347" i="1"/>
  <c r="P351" i="1"/>
  <c r="P355" i="1"/>
  <c r="P359" i="1"/>
  <c r="P363" i="1"/>
  <c r="P367" i="1"/>
  <c r="P371" i="1"/>
  <c r="P375" i="1"/>
  <c r="P379" i="1"/>
  <c r="P383" i="1"/>
  <c r="P387" i="1"/>
  <c r="P391" i="1"/>
  <c r="P395" i="1"/>
  <c r="P399" i="1"/>
  <c r="P403" i="1"/>
  <c r="P407" i="1"/>
  <c r="P411" i="1"/>
  <c r="P415" i="1"/>
  <c r="P419" i="1"/>
  <c r="P423" i="1"/>
  <c r="P427" i="1"/>
  <c r="P431" i="1"/>
  <c r="P435" i="1"/>
  <c r="P439" i="1"/>
  <c r="P443" i="1"/>
  <c r="P447" i="1"/>
  <c r="P451" i="1"/>
  <c r="P455" i="1"/>
  <c r="P459" i="1"/>
  <c r="P463" i="1"/>
  <c r="P467" i="1"/>
  <c r="P471" i="1"/>
  <c r="P475" i="1"/>
  <c r="P479" i="1"/>
  <c r="P483" i="1"/>
  <c r="P487" i="1"/>
  <c r="P491" i="1"/>
  <c r="P495" i="1"/>
  <c r="P499" i="1"/>
  <c r="P14" i="1"/>
  <c r="P30" i="1"/>
  <c r="P46" i="1"/>
  <c r="P62" i="1"/>
  <c r="P78" i="1"/>
  <c r="P94" i="1"/>
  <c r="P110" i="1"/>
  <c r="P126" i="1"/>
  <c r="P142" i="1"/>
  <c r="P158" i="1"/>
  <c r="P170" i="1"/>
  <c r="P178" i="1"/>
  <c r="P184" i="1"/>
  <c r="P190" i="1"/>
  <c r="P195" i="1"/>
  <c r="P200" i="1"/>
  <c r="P206" i="1"/>
  <c r="P211" i="1"/>
  <c r="P216" i="1"/>
  <c r="P222" i="1"/>
  <c r="P227" i="1"/>
  <c r="P232" i="1"/>
  <c r="P238" i="1"/>
  <c r="P243" i="1"/>
  <c r="P248" i="1"/>
  <c r="P254" i="1"/>
  <c r="P259" i="1"/>
  <c r="P264" i="1"/>
  <c r="P270" i="1"/>
  <c r="P275" i="1"/>
  <c r="P280" i="1"/>
  <c r="P286" i="1"/>
  <c r="P291" i="1"/>
  <c r="P296" i="1"/>
  <c r="P302" i="1"/>
  <c r="P307" i="1"/>
  <c r="P312" i="1"/>
  <c r="P318" i="1"/>
  <c r="P323" i="1"/>
  <c r="P328" i="1"/>
  <c r="P334" i="1"/>
  <c r="P339" i="1"/>
  <c r="P344" i="1"/>
  <c r="P348" i="1"/>
  <c r="P352" i="1"/>
  <c r="P356" i="1"/>
  <c r="P360" i="1"/>
  <c r="P364" i="1"/>
  <c r="P368" i="1"/>
  <c r="P372" i="1"/>
  <c r="P376" i="1"/>
  <c r="P380" i="1"/>
  <c r="P384" i="1"/>
  <c r="P388" i="1"/>
  <c r="P392" i="1"/>
  <c r="P396" i="1"/>
  <c r="P400" i="1"/>
  <c r="P404" i="1"/>
  <c r="P408" i="1"/>
  <c r="P412" i="1"/>
  <c r="P416" i="1"/>
  <c r="P420" i="1"/>
  <c r="P424" i="1"/>
  <c r="P428" i="1"/>
  <c r="P432" i="1"/>
  <c r="P436" i="1"/>
  <c r="P440" i="1"/>
  <c r="P444" i="1"/>
  <c r="P448" i="1"/>
  <c r="P452" i="1"/>
  <c r="P456" i="1"/>
  <c r="P460" i="1"/>
  <c r="P464" i="1"/>
  <c r="P468" i="1"/>
  <c r="P472" i="1"/>
  <c r="P476" i="1"/>
  <c r="P480" i="1"/>
  <c r="P484" i="1"/>
  <c r="P488" i="1"/>
  <c r="P492" i="1"/>
  <c r="P496" i="1"/>
  <c r="P500" i="1"/>
  <c r="P18" i="1"/>
  <c r="P34" i="1"/>
  <c r="P66" i="1"/>
  <c r="P130" i="1"/>
  <c r="P180" i="1"/>
  <c r="P202" i="1"/>
  <c r="P223" i="1"/>
  <c r="P244" i="1"/>
  <c r="P266" i="1"/>
  <c r="P287" i="1"/>
  <c r="P308" i="1"/>
  <c r="P330" i="1"/>
  <c r="P349" i="1"/>
  <c r="P365" i="1"/>
  <c r="P381" i="1"/>
  <c r="P397" i="1"/>
  <c r="P413" i="1"/>
  <c r="P429" i="1"/>
  <c r="P445" i="1"/>
  <c r="P461" i="1"/>
  <c r="P477" i="1"/>
  <c r="P493" i="1"/>
  <c r="P146" i="1"/>
  <c r="P207" i="1"/>
  <c r="P250" i="1"/>
  <c r="P292" i="1"/>
  <c r="P335" i="1"/>
  <c r="P353" i="1"/>
  <c r="P385" i="1"/>
  <c r="P417" i="1"/>
  <c r="P449" i="1"/>
  <c r="P481" i="1"/>
  <c r="P162" i="1"/>
  <c r="P212" i="1"/>
  <c r="P276" i="1"/>
  <c r="P319" i="1"/>
  <c r="P357" i="1"/>
  <c r="P373" i="1"/>
  <c r="P405" i="1"/>
  <c r="P437" i="1"/>
  <c r="P453" i="1"/>
  <c r="P469" i="1"/>
  <c r="P485" i="1"/>
  <c r="P114" i="1"/>
  <c r="P196" i="1"/>
  <c r="P218" i="1"/>
  <c r="P260" i="1"/>
  <c r="P303" i="1"/>
  <c r="P345" i="1"/>
  <c r="P377" i="1"/>
  <c r="P409" i="1"/>
  <c r="P441" i="1"/>
  <c r="P473" i="1"/>
  <c r="P82" i="1"/>
  <c r="P186" i="1"/>
  <c r="P228" i="1"/>
  <c r="P271" i="1"/>
  <c r="P314" i="1"/>
  <c r="P369" i="1"/>
  <c r="P401" i="1"/>
  <c r="P433" i="1"/>
  <c r="P465" i="1"/>
  <c r="P497" i="1"/>
  <c r="P98" i="1"/>
  <c r="P191" i="1"/>
  <c r="P234" i="1"/>
  <c r="P255" i="1"/>
  <c r="P298" i="1"/>
  <c r="P340" i="1"/>
  <c r="P389" i="1"/>
  <c r="P421" i="1"/>
  <c r="P501" i="1"/>
  <c r="P50" i="1"/>
  <c r="P172" i="1"/>
  <c r="P239" i="1"/>
  <c r="P282" i="1"/>
  <c r="P324" i="1"/>
  <c r="P361" i="1"/>
  <c r="P393" i="1"/>
  <c r="P425" i="1"/>
  <c r="P457" i="1"/>
  <c r="P489" i="1"/>
  <c r="J501" i="1"/>
  <c r="N501" i="1" s="1"/>
  <c r="J469" i="1"/>
  <c r="N469" i="1" s="1"/>
  <c r="J437" i="1"/>
  <c r="N437" i="1" s="1"/>
  <c r="J405" i="1"/>
  <c r="N405" i="1" s="1"/>
  <c r="J389" i="1"/>
  <c r="N389" i="1" s="1"/>
  <c r="J334" i="1"/>
  <c r="N334" i="1" s="1"/>
  <c r="J249" i="1"/>
  <c r="N249" i="1" s="1"/>
  <c r="J163" i="1"/>
  <c r="N163" i="1" s="1"/>
  <c r="J35" i="1"/>
  <c r="N35" i="1" s="1"/>
  <c r="J478" i="1"/>
  <c r="N478" i="1" s="1"/>
  <c r="J430" i="1"/>
  <c r="N430" i="1" s="1"/>
  <c r="J366" i="1"/>
  <c r="N366" i="1" s="1"/>
  <c r="J6" i="1"/>
  <c r="N6" i="1" s="1"/>
  <c r="J7" i="1"/>
  <c r="N7" i="1" s="1"/>
  <c r="J18" i="1"/>
  <c r="N18" i="1" s="1"/>
  <c r="J29" i="1"/>
  <c r="N29" i="1" s="1"/>
  <c r="J39" i="1"/>
  <c r="N39" i="1" s="1"/>
  <c r="J50" i="1"/>
  <c r="N50" i="1" s="1"/>
  <c r="J61" i="1"/>
  <c r="N61" i="1" s="1"/>
  <c r="J71" i="1"/>
  <c r="N71" i="1" s="1"/>
  <c r="J82" i="1"/>
  <c r="N82" i="1" s="1"/>
  <c r="J93" i="1"/>
  <c r="N93" i="1" s="1"/>
  <c r="J103" i="1"/>
  <c r="N103" i="1" s="1"/>
  <c r="J114" i="1"/>
  <c r="N114" i="1" s="1"/>
  <c r="J125" i="1"/>
  <c r="N125" i="1" s="1"/>
  <c r="J135" i="1"/>
  <c r="N135" i="1" s="1"/>
  <c r="J146" i="1"/>
  <c r="N146" i="1" s="1"/>
  <c r="J157" i="1"/>
  <c r="N157" i="1" s="1"/>
  <c r="J167" i="1"/>
  <c r="N167" i="1" s="1"/>
  <c r="J178" i="1"/>
  <c r="N178" i="1" s="1"/>
  <c r="J189" i="1"/>
  <c r="N189" i="1" s="1"/>
  <c r="J199" i="1"/>
  <c r="N199" i="1" s="1"/>
  <c r="J210" i="1"/>
  <c r="N210" i="1" s="1"/>
  <c r="J221" i="1"/>
  <c r="N221" i="1" s="1"/>
  <c r="J231" i="1"/>
  <c r="N231" i="1" s="1"/>
  <c r="J242" i="1"/>
  <c r="N242" i="1" s="1"/>
  <c r="J253" i="1"/>
  <c r="N253" i="1" s="1"/>
  <c r="J263" i="1"/>
  <c r="N263" i="1" s="1"/>
  <c r="J274" i="1"/>
  <c r="N274" i="1" s="1"/>
  <c r="J285" i="1"/>
  <c r="N285" i="1" s="1"/>
  <c r="J295" i="1"/>
  <c r="N295" i="1" s="1"/>
  <c r="J306" i="1"/>
  <c r="N306" i="1" s="1"/>
  <c r="J317" i="1"/>
  <c r="N317" i="1" s="1"/>
  <c r="J327" i="1"/>
  <c r="N327" i="1" s="1"/>
  <c r="J338" i="1"/>
  <c r="N338" i="1" s="1"/>
  <c r="J349" i="1"/>
  <c r="N349" i="1" s="1"/>
  <c r="J359" i="1"/>
  <c r="N359" i="1" s="1"/>
  <c r="J369" i="1"/>
  <c r="N369" i="1" s="1"/>
  <c r="J377" i="1"/>
  <c r="N377" i="1" s="1"/>
  <c r="J385" i="1"/>
  <c r="N385" i="1" s="1"/>
  <c r="J393" i="1"/>
  <c r="N393" i="1" s="1"/>
  <c r="J401" i="1"/>
  <c r="N401" i="1" s="1"/>
  <c r="J409" i="1"/>
  <c r="N409" i="1" s="1"/>
  <c r="J417" i="1"/>
  <c r="N417" i="1" s="1"/>
  <c r="J425" i="1"/>
  <c r="N425" i="1" s="1"/>
  <c r="J433" i="1"/>
  <c r="N433" i="1" s="1"/>
  <c r="J441" i="1"/>
  <c r="N441" i="1" s="1"/>
  <c r="J449" i="1"/>
  <c r="N449" i="1" s="1"/>
  <c r="J457" i="1"/>
  <c r="N457" i="1" s="1"/>
  <c r="J465" i="1"/>
  <c r="N465" i="1" s="1"/>
  <c r="J473" i="1"/>
  <c r="N473" i="1" s="1"/>
  <c r="J481" i="1"/>
  <c r="N481" i="1" s="1"/>
  <c r="J489" i="1"/>
  <c r="N489" i="1" s="1"/>
  <c r="J497" i="1"/>
  <c r="N497" i="1" s="1"/>
  <c r="J9" i="1"/>
  <c r="N9" i="1" s="1"/>
  <c r="J19" i="1"/>
  <c r="N19" i="1" s="1"/>
  <c r="J30" i="1"/>
  <c r="N30" i="1" s="1"/>
  <c r="J41" i="1"/>
  <c r="N41" i="1" s="1"/>
  <c r="J51" i="1"/>
  <c r="N51" i="1" s="1"/>
  <c r="J62" i="1"/>
  <c r="N62" i="1" s="1"/>
  <c r="J73" i="1"/>
  <c r="N73" i="1" s="1"/>
  <c r="J83" i="1"/>
  <c r="N83" i="1" s="1"/>
  <c r="J94" i="1"/>
  <c r="N94" i="1" s="1"/>
  <c r="J105" i="1"/>
  <c r="N105" i="1" s="1"/>
  <c r="J115" i="1"/>
  <c r="N115" i="1" s="1"/>
  <c r="J126" i="1"/>
  <c r="N126" i="1" s="1"/>
  <c r="J137" i="1"/>
  <c r="N137" i="1" s="1"/>
  <c r="J147" i="1"/>
  <c r="N147" i="1" s="1"/>
  <c r="J158" i="1"/>
  <c r="N158" i="1" s="1"/>
  <c r="J169" i="1"/>
  <c r="N169" i="1" s="1"/>
  <c r="J179" i="1"/>
  <c r="N179" i="1" s="1"/>
  <c r="J190" i="1"/>
  <c r="N190" i="1" s="1"/>
  <c r="J201" i="1"/>
  <c r="N201" i="1" s="1"/>
  <c r="J211" i="1"/>
  <c r="N211" i="1" s="1"/>
  <c r="J222" i="1"/>
  <c r="N222" i="1" s="1"/>
  <c r="J233" i="1"/>
  <c r="N233" i="1" s="1"/>
  <c r="J243" i="1"/>
  <c r="N243" i="1" s="1"/>
  <c r="J254" i="1"/>
  <c r="N254" i="1" s="1"/>
  <c r="J265" i="1"/>
  <c r="N265" i="1" s="1"/>
  <c r="J275" i="1"/>
  <c r="N275" i="1" s="1"/>
  <c r="J286" i="1"/>
  <c r="N286" i="1" s="1"/>
  <c r="J297" i="1"/>
  <c r="N297" i="1" s="1"/>
  <c r="J307" i="1"/>
  <c r="N307" i="1" s="1"/>
  <c r="J318" i="1"/>
  <c r="N318" i="1" s="1"/>
  <c r="J329" i="1"/>
  <c r="N329" i="1" s="1"/>
  <c r="J339" i="1"/>
  <c r="N339" i="1" s="1"/>
  <c r="J350" i="1"/>
  <c r="N350" i="1" s="1"/>
  <c r="J361" i="1"/>
  <c r="N361" i="1" s="1"/>
  <c r="J370" i="1"/>
  <c r="N370" i="1" s="1"/>
  <c r="J378" i="1"/>
  <c r="N378" i="1" s="1"/>
  <c r="J386" i="1"/>
  <c r="N386" i="1" s="1"/>
  <c r="J394" i="1"/>
  <c r="N394" i="1" s="1"/>
  <c r="J402" i="1"/>
  <c r="N402" i="1" s="1"/>
  <c r="J410" i="1"/>
  <c r="N410" i="1" s="1"/>
  <c r="J418" i="1"/>
  <c r="N418" i="1" s="1"/>
  <c r="J426" i="1"/>
  <c r="N426" i="1" s="1"/>
  <c r="J434" i="1"/>
  <c r="N434" i="1" s="1"/>
  <c r="J442" i="1"/>
  <c r="N442" i="1" s="1"/>
  <c r="J450" i="1"/>
  <c r="N450" i="1" s="1"/>
  <c r="J458" i="1"/>
  <c r="N458" i="1" s="1"/>
  <c r="J466" i="1"/>
  <c r="N466" i="1" s="1"/>
  <c r="J474" i="1"/>
  <c r="N474" i="1" s="1"/>
  <c r="J482" i="1"/>
  <c r="N482" i="1" s="1"/>
  <c r="J490" i="1"/>
  <c r="N490" i="1" s="1"/>
  <c r="J498" i="1"/>
  <c r="N498" i="1" s="1"/>
  <c r="J13" i="1"/>
  <c r="N13" i="1" s="1"/>
  <c r="J23" i="1"/>
  <c r="N23" i="1" s="1"/>
  <c r="J34" i="1"/>
  <c r="N34" i="1" s="1"/>
  <c r="J45" i="1"/>
  <c r="N45" i="1" s="1"/>
  <c r="J55" i="1"/>
  <c r="N55" i="1" s="1"/>
  <c r="J66" i="1"/>
  <c r="N66" i="1" s="1"/>
  <c r="J77" i="1"/>
  <c r="N77" i="1" s="1"/>
  <c r="J87" i="1"/>
  <c r="N87" i="1" s="1"/>
  <c r="J98" i="1"/>
  <c r="N98" i="1" s="1"/>
  <c r="J109" i="1"/>
  <c r="N109" i="1" s="1"/>
  <c r="J119" i="1"/>
  <c r="N119" i="1" s="1"/>
  <c r="J130" i="1"/>
  <c r="N130" i="1" s="1"/>
  <c r="J141" i="1"/>
  <c r="N141" i="1" s="1"/>
  <c r="J151" i="1"/>
  <c r="N151" i="1" s="1"/>
  <c r="J162" i="1"/>
  <c r="N162" i="1" s="1"/>
  <c r="J173" i="1"/>
  <c r="N173" i="1" s="1"/>
  <c r="J183" i="1"/>
  <c r="N183" i="1" s="1"/>
  <c r="J194" i="1"/>
  <c r="N194" i="1" s="1"/>
  <c r="J205" i="1"/>
  <c r="N205" i="1" s="1"/>
  <c r="J215" i="1"/>
  <c r="N215" i="1" s="1"/>
  <c r="J226" i="1"/>
  <c r="N226" i="1" s="1"/>
  <c r="J237" i="1"/>
  <c r="N237" i="1" s="1"/>
  <c r="J247" i="1"/>
  <c r="N247" i="1" s="1"/>
  <c r="J258" i="1"/>
  <c r="N258" i="1" s="1"/>
  <c r="J269" i="1"/>
  <c r="N269" i="1" s="1"/>
  <c r="J279" i="1"/>
  <c r="N279" i="1" s="1"/>
  <c r="J290" i="1"/>
  <c r="N290" i="1" s="1"/>
  <c r="J301" i="1"/>
  <c r="N301" i="1" s="1"/>
  <c r="J311" i="1"/>
  <c r="N311" i="1" s="1"/>
  <c r="J322" i="1"/>
  <c r="N322" i="1" s="1"/>
  <c r="J333" i="1"/>
  <c r="N333" i="1" s="1"/>
  <c r="J343" i="1"/>
  <c r="N343" i="1" s="1"/>
  <c r="J354" i="1"/>
  <c r="N354" i="1" s="1"/>
  <c r="J365" i="1"/>
  <c r="N365" i="1" s="1"/>
  <c r="J2" i="1"/>
  <c r="N2" i="1" s="1"/>
  <c r="J486" i="1"/>
  <c r="N486" i="1" s="1"/>
  <c r="J470" i="1"/>
  <c r="N470" i="1" s="1"/>
  <c r="J454" i="1"/>
  <c r="N454" i="1" s="1"/>
  <c r="J438" i="1"/>
  <c r="N438" i="1" s="1"/>
  <c r="J422" i="1"/>
  <c r="N422" i="1" s="1"/>
  <c r="J406" i="1"/>
  <c r="N406" i="1" s="1"/>
  <c r="J390" i="1"/>
  <c r="N390" i="1" s="1"/>
  <c r="J374" i="1"/>
  <c r="N374" i="1" s="1"/>
  <c r="J345" i="1"/>
  <c r="N345" i="1" s="1"/>
  <c r="J302" i="1"/>
  <c r="N302" i="1" s="1"/>
  <c r="J259" i="1"/>
  <c r="N259" i="1" s="1"/>
  <c r="J217" i="1"/>
  <c r="N217" i="1" s="1"/>
  <c r="J174" i="1"/>
  <c r="N174" i="1" s="1"/>
  <c r="J131" i="1"/>
  <c r="N131" i="1" s="1"/>
  <c r="J89" i="1"/>
  <c r="N89" i="1" s="1"/>
  <c r="J46" i="1"/>
  <c r="N46" i="1" s="1"/>
  <c r="J485" i="1"/>
  <c r="N485" i="1" s="1"/>
  <c r="J453" i="1"/>
  <c r="N453" i="1" s="1"/>
  <c r="J421" i="1"/>
  <c r="N421" i="1" s="1"/>
  <c r="J373" i="1"/>
  <c r="N373" i="1" s="1"/>
  <c r="J291" i="1"/>
  <c r="N291" i="1" s="1"/>
  <c r="J206" i="1"/>
  <c r="N206" i="1" s="1"/>
  <c r="J121" i="1"/>
  <c r="N121" i="1" s="1"/>
  <c r="J78" i="1"/>
  <c r="N78" i="1" s="1"/>
  <c r="J494" i="1"/>
  <c r="N494" i="1" s="1"/>
  <c r="J462" i="1"/>
  <c r="N462" i="1" s="1"/>
  <c r="J446" i="1"/>
  <c r="N446" i="1" s="1"/>
  <c r="J414" i="1"/>
  <c r="N414" i="1" s="1"/>
  <c r="J398" i="1"/>
  <c r="N398" i="1" s="1"/>
  <c r="J382" i="1"/>
  <c r="N382" i="1" s="1"/>
  <c r="J323" i="1"/>
  <c r="N323" i="1" s="1"/>
  <c r="J281" i="1"/>
  <c r="N281" i="1" s="1"/>
  <c r="J238" i="1"/>
  <c r="N238" i="1" s="1"/>
  <c r="J195" i="1"/>
  <c r="N195" i="1" s="1"/>
  <c r="J153" i="1"/>
  <c r="N153" i="1" s="1"/>
  <c r="J110" i="1"/>
  <c r="N110" i="1" s="1"/>
  <c r="J67" i="1"/>
  <c r="N67" i="1" s="1"/>
  <c r="J493" i="1"/>
  <c r="N493" i="1" s="1"/>
  <c r="J477" i="1"/>
  <c r="N477" i="1" s="1"/>
  <c r="J461" i="1"/>
  <c r="N461" i="1" s="1"/>
  <c r="J445" i="1"/>
  <c r="N445" i="1" s="1"/>
  <c r="J429" i="1"/>
  <c r="N429" i="1" s="1"/>
  <c r="J413" i="1"/>
  <c r="N413" i="1" s="1"/>
  <c r="J397" i="1"/>
  <c r="N397" i="1" s="1"/>
  <c r="J381" i="1"/>
  <c r="N381" i="1" s="1"/>
  <c r="J355" i="1"/>
  <c r="N355" i="1" s="1"/>
  <c r="J313" i="1"/>
  <c r="N313" i="1" s="1"/>
  <c r="J270" i="1"/>
  <c r="N270" i="1" s="1"/>
  <c r="J227" i="1"/>
  <c r="N227" i="1" s="1"/>
  <c r="J185" i="1"/>
  <c r="N185" i="1" s="1"/>
  <c r="J142" i="1"/>
  <c r="N142" i="1" s="1"/>
  <c r="J99" i="1"/>
  <c r="N99" i="1" s="1"/>
  <c r="J57" i="1"/>
  <c r="N57" i="1" s="1"/>
  <c r="J14" i="1"/>
  <c r="N14" i="1" s="1"/>
  <c r="J500" i="1"/>
  <c r="N500" i="1" s="1"/>
  <c r="J496" i="1"/>
  <c r="N496" i="1" s="1"/>
  <c r="J492" i="1"/>
  <c r="N492" i="1" s="1"/>
  <c r="J488" i="1"/>
  <c r="N488" i="1" s="1"/>
  <c r="J484" i="1"/>
  <c r="N484" i="1" s="1"/>
  <c r="J480" i="1"/>
  <c r="N480" i="1" s="1"/>
  <c r="J476" i="1"/>
  <c r="N476" i="1" s="1"/>
  <c r="J472" i="1"/>
  <c r="N472" i="1" s="1"/>
  <c r="J468" i="1"/>
  <c r="N468" i="1" s="1"/>
  <c r="J464" i="1"/>
  <c r="N464" i="1" s="1"/>
  <c r="J460" i="1"/>
  <c r="N460" i="1" s="1"/>
  <c r="J456" i="1"/>
  <c r="N456" i="1" s="1"/>
  <c r="J452" i="1"/>
  <c r="N452" i="1" s="1"/>
  <c r="J448" i="1"/>
  <c r="N448" i="1" s="1"/>
  <c r="J444" i="1"/>
  <c r="N444" i="1" s="1"/>
  <c r="J440" i="1"/>
  <c r="N440" i="1" s="1"/>
  <c r="J436" i="1"/>
  <c r="N436" i="1" s="1"/>
  <c r="J432" i="1"/>
  <c r="N432" i="1" s="1"/>
  <c r="J428" i="1"/>
  <c r="N428" i="1" s="1"/>
  <c r="J424" i="1"/>
  <c r="N424" i="1" s="1"/>
  <c r="J420" i="1"/>
  <c r="N420" i="1" s="1"/>
  <c r="J416" i="1"/>
  <c r="N416" i="1" s="1"/>
  <c r="J412" i="1"/>
  <c r="N412" i="1" s="1"/>
  <c r="J408" i="1"/>
  <c r="N408" i="1" s="1"/>
  <c r="J404" i="1"/>
  <c r="N404" i="1" s="1"/>
  <c r="J400" i="1"/>
  <c r="N400" i="1" s="1"/>
  <c r="J396" i="1"/>
  <c r="N396" i="1" s="1"/>
  <c r="J392" i="1"/>
  <c r="N392" i="1" s="1"/>
  <c r="J388" i="1"/>
  <c r="N388" i="1" s="1"/>
  <c r="J384" i="1"/>
  <c r="N384" i="1" s="1"/>
  <c r="J380" i="1"/>
  <c r="N380" i="1" s="1"/>
  <c r="J376" i="1"/>
  <c r="N376" i="1" s="1"/>
  <c r="J372" i="1"/>
  <c r="N372" i="1" s="1"/>
  <c r="J368" i="1"/>
  <c r="N368" i="1" s="1"/>
  <c r="J363" i="1"/>
  <c r="N363" i="1" s="1"/>
  <c r="J358" i="1"/>
  <c r="N358" i="1" s="1"/>
  <c r="J353" i="1"/>
  <c r="N353" i="1" s="1"/>
  <c r="J347" i="1"/>
  <c r="N347" i="1" s="1"/>
  <c r="J342" i="1"/>
  <c r="N342" i="1" s="1"/>
  <c r="J337" i="1"/>
  <c r="N337" i="1" s="1"/>
  <c r="J331" i="1"/>
  <c r="N331" i="1" s="1"/>
  <c r="J326" i="1"/>
  <c r="N326" i="1" s="1"/>
  <c r="J321" i="1"/>
  <c r="N321" i="1" s="1"/>
  <c r="J315" i="1"/>
  <c r="N315" i="1" s="1"/>
  <c r="J310" i="1"/>
  <c r="N310" i="1" s="1"/>
  <c r="J305" i="1"/>
  <c r="N305" i="1" s="1"/>
  <c r="J299" i="1"/>
  <c r="N299" i="1" s="1"/>
  <c r="J294" i="1"/>
  <c r="N294" i="1" s="1"/>
  <c r="J289" i="1"/>
  <c r="N289" i="1" s="1"/>
  <c r="J283" i="1"/>
  <c r="N283" i="1" s="1"/>
  <c r="J278" i="1"/>
  <c r="N278" i="1" s="1"/>
  <c r="J273" i="1"/>
  <c r="N273" i="1" s="1"/>
  <c r="J267" i="1"/>
  <c r="N267" i="1" s="1"/>
  <c r="J262" i="1"/>
  <c r="N262" i="1" s="1"/>
  <c r="J257" i="1"/>
  <c r="N257" i="1" s="1"/>
  <c r="J251" i="1"/>
  <c r="N251" i="1" s="1"/>
  <c r="J246" i="1"/>
  <c r="N246" i="1" s="1"/>
  <c r="J241" i="1"/>
  <c r="N241" i="1" s="1"/>
  <c r="J235" i="1"/>
  <c r="N235" i="1" s="1"/>
  <c r="J230" i="1"/>
  <c r="N230" i="1" s="1"/>
  <c r="J225" i="1"/>
  <c r="N225" i="1" s="1"/>
  <c r="J219" i="1"/>
  <c r="N219" i="1" s="1"/>
  <c r="J214" i="1"/>
  <c r="N214" i="1" s="1"/>
  <c r="J209" i="1"/>
  <c r="N209" i="1" s="1"/>
  <c r="J203" i="1"/>
  <c r="N203" i="1" s="1"/>
  <c r="J198" i="1"/>
  <c r="N198" i="1" s="1"/>
  <c r="J193" i="1"/>
  <c r="N193" i="1" s="1"/>
  <c r="J187" i="1"/>
  <c r="N187" i="1" s="1"/>
  <c r="J182" i="1"/>
  <c r="N182" i="1" s="1"/>
  <c r="J177" i="1"/>
  <c r="N177" i="1" s="1"/>
  <c r="J171" i="1"/>
  <c r="N171" i="1" s="1"/>
  <c r="J166" i="1"/>
  <c r="N166" i="1" s="1"/>
  <c r="J161" i="1"/>
  <c r="N161" i="1" s="1"/>
  <c r="J155" i="1"/>
  <c r="N155" i="1" s="1"/>
  <c r="J150" i="1"/>
  <c r="N150" i="1" s="1"/>
  <c r="J145" i="1"/>
  <c r="N145" i="1" s="1"/>
  <c r="J139" i="1"/>
  <c r="N139" i="1" s="1"/>
  <c r="J134" i="1"/>
  <c r="N134" i="1" s="1"/>
  <c r="J129" i="1"/>
  <c r="N129" i="1" s="1"/>
  <c r="J123" i="1"/>
  <c r="N123" i="1" s="1"/>
  <c r="J118" i="1"/>
  <c r="N118" i="1" s="1"/>
  <c r="J113" i="1"/>
  <c r="N113" i="1" s="1"/>
  <c r="J107" i="1"/>
  <c r="N107" i="1" s="1"/>
  <c r="J102" i="1"/>
  <c r="N102" i="1" s="1"/>
  <c r="J97" i="1"/>
  <c r="N97" i="1" s="1"/>
  <c r="J91" i="1"/>
  <c r="N91" i="1" s="1"/>
  <c r="J86" i="1"/>
  <c r="N86" i="1" s="1"/>
  <c r="J81" i="1"/>
  <c r="N81" i="1" s="1"/>
  <c r="J75" i="1"/>
  <c r="N75" i="1" s="1"/>
  <c r="J70" i="1"/>
  <c r="N70" i="1" s="1"/>
  <c r="J65" i="1"/>
  <c r="N65" i="1" s="1"/>
  <c r="J59" i="1"/>
  <c r="N59" i="1" s="1"/>
  <c r="J54" i="1"/>
  <c r="N54" i="1" s="1"/>
  <c r="J49" i="1"/>
  <c r="N49" i="1" s="1"/>
  <c r="J43" i="1"/>
  <c r="N43" i="1" s="1"/>
  <c r="J38" i="1"/>
  <c r="N38" i="1" s="1"/>
  <c r="J33" i="1"/>
  <c r="N33" i="1" s="1"/>
  <c r="J27" i="1"/>
  <c r="N27" i="1" s="1"/>
  <c r="J22" i="1"/>
  <c r="N22" i="1" s="1"/>
  <c r="J17" i="1"/>
  <c r="N17" i="1" s="1"/>
  <c r="J11" i="1"/>
  <c r="N11" i="1" s="1"/>
  <c r="J3" i="1"/>
  <c r="N3" i="1" s="1"/>
  <c r="J4" i="1"/>
  <c r="N4" i="1" s="1"/>
  <c r="J8" i="1"/>
  <c r="N8" i="1" s="1"/>
  <c r="J12" i="1"/>
  <c r="N12" i="1" s="1"/>
  <c r="J16" i="1"/>
  <c r="N16" i="1" s="1"/>
  <c r="J20" i="1"/>
  <c r="N20" i="1" s="1"/>
  <c r="J24" i="1"/>
  <c r="N24" i="1" s="1"/>
  <c r="J28" i="1"/>
  <c r="N28" i="1" s="1"/>
  <c r="J32" i="1"/>
  <c r="N32" i="1" s="1"/>
  <c r="J36" i="1"/>
  <c r="N36" i="1" s="1"/>
  <c r="J40" i="1"/>
  <c r="N40" i="1" s="1"/>
  <c r="J44" i="1"/>
  <c r="N44" i="1" s="1"/>
  <c r="J48" i="1"/>
  <c r="N48" i="1" s="1"/>
  <c r="J52" i="1"/>
  <c r="N52" i="1" s="1"/>
  <c r="J56" i="1"/>
  <c r="N56" i="1" s="1"/>
  <c r="J60" i="1"/>
  <c r="N60" i="1" s="1"/>
  <c r="J64" i="1"/>
  <c r="N64" i="1" s="1"/>
  <c r="J68" i="1"/>
  <c r="N68" i="1" s="1"/>
  <c r="J72" i="1"/>
  <c r="N72" i="1" s="1"/>
  <c r="J76" i="1"/>
  <c r="N76" i="1" s="1"/>
  <c r="J80" i="1"/>
  <c r="N80" i="1" s="1"/>
  <c r="J84" i="1"/>
  <c r="N84" i="1" s="1"/>
  <c r="J88" i="1"/>
  <c r="N88" i="1" s="1"/>
  <c r="J92" i="1"/>
  <c r="N92" i="1" s="1"/>
  <c r="J96" i="1"/>
  <c r="N96" i="1" s="1"/>
  <c r="J100" i="1"/>
  <c r="N100" i="1" s="1"/>
  <c r="J104" i="1"/>
  <c r="N104" i="1" s="1"/>
  <c r="J108" i="1"/>
  <c r="N108" i="1" s="1"/>
  <c r="J112" i="1"/>
  <c r="N112" i="1" s="1"/>
  <c r="J116" i="1"/>
  <c r="N116" i="1" s="1"/>
  <c r="J120" i="1"/>
  <c r="N120" i="1" s="1"/>
  <c r="J124" i="1"/>
  <c r="N124" i="1" s="1"/>
  <c r="J128" i="1"/>
  <c r="N128" i="1" s="1"/>
  <c r="J132" i="1"/>
  <c r="N132" i="1" s="1"/>
  <c r="J136" i="1"/>
  <c r="N136" i="1" s="1"/>
  <c r="J140" i="1"/>
  <c r="N140" i="1" s="1"/>
  <c r="J144" i="1"/>
  <c r="N144" i="1" s="1"/>
  <c r="J148" i="1"/>
  <c r="N148" i="1" s="1"/>
  <c r="J152" i="1"/>
  <c r="N152" i="1" s="1"/>
  <c r="J156" i="1"/>
  <c r="N156" i="1" s="1"/>
  <c r="J160" i="1"/>
  <c r="N160" i="1" s="1"/>
  <c r="J164" i="1"/>
  <c r="N164" i="1" s="1"/>
  <c r="J168" i="1"/>
  <c r="N168" i="1" s="1"/>
  <c r="J172" i="1"/>
  <c r="N172" i="1" s="1"/>
  <c r="J176" i="1"/>
  <c r="N176" i="1" s="1"/>
  <c r="J180" i="1"/>
  <c r="N180" i="1" s="1"/>
  <c r="J184" i="1"/>
  <c r="N184" i="1" s="1"/>
  <c r="J188" i="1"/>
  <c r="N188" i="1" s="1"/>
  <c r="J192" i="1"/>
  <c r="N192" i="1" s="1"/>
  <c r="J196" i="1"/>
  <c r="N196" i="1" s="1"/>
  <c r="J200" i="1"/>
  <c r="N200" i="1" s="1"/>
  <c r="J204" i="1"/>
  <c r="N204" i="1" s="1"/>
  <c r="J208" i="1"/>
  <c r="N208" i="1" s="1"/>
  <c r="J212" i="1"/>
  <c r="N212" i="1" s="1"/>
  <c r="J216" i="1"/>
  <c r="N216" i="1" s="1"/>
  <c r="J220" i="1"/>
  <c r="N220" i="1" s="1"/>
  <c r="J224" i="1"/>
  <c r="N224" i="1" s="1"/>
  <c r="J228" i="1"/>
  <c r="N228" i="1" s="1"/>
  <c r="J232" i="1"/>
  <c r="N232" i="1" s="1"/>
  <c r="J236" i="1"/>
  <c r="N236" i="1" s="1"/>
  <c r="J240" i="1"/>
  <c r="N240" i="1" s="1"/>
  <c r="J244" i="1"/>
  <c r="N244" i="1" s="1"/>
  <c r="J248" i="1"/>
  <c r="N248" i="1" s="1"/>
  <c r="J252" i="1"/>
  <c r="N252" i="1" s="1"/>
  <c r="J256" i="1"/>
  <c r="N256" i="1" s="1"/>
  <c r="J260" i="1"/>
  <c r="N260" i="1" s="1"/>
  <c r="J264" i="1"/>
  <c r="N264" i="1" s="1"/>
  <c r="J268" i="1"/>
  <c r="N268" i="1" s="1"/>
  <c r="J272" i="1"/>
  <c r="N272" i="1" s="1"/>
  <c r="J276" i="1"/>
  <c r="N276" i="1" s="1"/>
  <c r="J280" i="1"/>
  <c r="N280" i="1" s="1"/>
  <c r="J284" i="1"/>
  <c r="N284" i="1" s="1"/>
  <c r="J288" i="1"/>
  <c r="N288" i="1" s="1"/>
  <c r="J292" i="1"/>
  <c r="N292" i="1" s="1"/>
  <c r="J296" i="1"/>
  <c r="N296" i="1" s="1"/>
  <c r="J300" i="1"/>
  <c r="N300" i="1" s="1"/>
  <c r="J304" i="1"/>
  <c r="N304" i="1" s="1"/>
  <c r="J308" i="1"/>
  <c r="N308" i="1" s="1"/>
  <c r="J312" i="1"/>
  <c r="N312" i="1" s="1"/>
  <c r="J316" i="1"/>
  <c r="N316" i="1" s="1"/>
  <c r="J320" i="1"/>
  <c r="N320" i="1" s="1"/>
  <c r="J324" i="1"/>
  <c r="N324" i="1" s="1"/>
  <c r="J328" i="1"/>
  <c r="N328" i="1" s="1"/>
  <c r="J332" i="1"/>
  <c r="N332" i="1" s="1"/>
  <c r="J336" i="1"/>
  <c r="N336" i="1" s="1"/>
  <c r="J340" i="1"/>
  <c r="N340" i="1" s="1"/>
  <c r="J344" i="1"/>
  <c r="N344" i="1" s="1"/>
  <c r="J348" i="1"/>
  <c r="N348" i="1" s="1"/>
  <c r="J352" i="1"/>
  <c r="N352" i="1" s="1"/>
  <c r="J356" i="1"/>
  <c r="N356" i="1" s="1"/>
  <c r="J360" i="1"/>
  <c r="N360" i="1" s="1"/>
  <c r="J364" i="1"/>
  <c r="N364" i="1" s="1"/>
  <c r="J499" i="1"/>
  <c r="N499" i="1" s="1"/>
  <c r="J495" i="1"/>
  <c r="N495" i="1" s="1"/>
  <c r="J491" i="1"/>
  <c r="N491" i="1" s="1"/>
  <c r="J487" i="1"/>
  <c r="N487" i="1" s="1"/>
  <c r="J483" i="1"/>
  <c r="N483" i="1" s="1"/>
  <c r="J479" i="1"/>
  <c r="N479" i="1" s="1"/>
  <c r="J475" i="1"/>
  <c r="N475" i="1" s="1"/>
  <c r="J471" i="1"/>
  <c r="N471" i="1" s="1"/>
  <c r="J467" i="1"/>
  <c r="N467" i="1" s="1"/>
  <c r="J463" i="1"/>
  <c r="N463" i="1" s="1"/>
  <c r="J459" i="1"/>
  <c r="N459" i="1" s="1"/>
  <c r="J455" i="1"/>
  <c r="N455" i="1" s="1"/>
  <c r="J451" i="1"/>
  <c r="N451" i="1" s="1"/>
  <c r="J447" i="1"/>
  <c r="N447" i="1" s="1"/>
  <c r="J443" i="1"/>
  <c r="N443" i="1" s="1"/>
  <c r="J439" i="1"/>
  <c r="N439" i="1" s="1"/>
  <c r="J435" i="1"/>
  <c r="N435" i="1" s="1"/>
  <c r="J431" i="1"/>
  <c r="N431" i="1" s="1"/>
  <c r="J427" i="1"/>
  <c r="N427" i="1" s="1"/>
  <c r="J423" i="1"/>
  <c r="N423" i="1" s="1"/>
  <c r="J419" i="1"/>
  <c r="N419" i="1" s="1"/>
  <c r="J415" i="1"/>
  <c r="N415" i="1" s="1"/>
  <c r="J411" i="1"/>
  <c r="N411" i="1" s="1"/>
  <c r="J407" i="1"/>
  <c r="N407" i="1" s="1"/>
  <c r="J403" i="1"/>
  <c r="N403" i="1" s="1"/>
  <c r="J399" i="1"/>
  <c r="N399" i="1" s="1"/>
  <c r="J395" i="1"/>
  <c r="N395" i="1" s="1"/>
  <c r="J391" i="1"/>
  <c r="N391" i="1" s="1"/>
  <c r="J387" i="1"/>
  <c r="N387" i="1" s="1"/>
  <c r="J383" i="1"/>
  <c r="N383" i="1" s="1"/>
  <c r="J379" i="1"/>
  <c r="N379" i="1" s="1"/>
  <c r="J375" i="1"/>
  <c r="N375" i="1" s="1"/>
  <c r="J371" i="1"/>
  <c r="N371" i="1" s="1"/>
  <c r="J367" i="1"/>
  <c r="N367" i="1" s="1"/>
  <c r="J362" i="1"/>
  <c r="N362" i="1" s="1"/>
  <c r="J357" i="1"/>
  <c r="N357" i="1" s="1"/>
  <c r="J351" i="1"/>
  <c r="N351" i="1" s="1"/>
  <c r="J346" i="1"/>
  <c r="N346" i="1" s="1"/>
  <c r="J341" i="1"/>
  <c r="N341" i="1" s="1"/>
  <c r="J335" i="1"/>
  <c r="N335" i="1" s="1"/>
  <c r="J330" i="1"/>
  <c r="N330" i="1" s="1"/>
  <c r="J325" i="1"/>
  <c r="N325" i="1" s="1"/>
  <c r="J319" i="1"/>
  <c r="N319" i="1" s="1"/>
  <c r="J314" i="1"/>
  <c r="N314" i="1" s="1"/>
  <c r="J309" i="1"/>
  <c r="N309" i="1" s="1"/>
  <c r="J303" i="1"/>
  <c r="N303" i="1" s="1"/>
  <c r="J298" i="1"/>
  <c r="N298" i="1" s="1"/>
  <c r="J293" i="1"/>
  <c r="N293" i="1" s="1"/>
  <c r="J287" i="1"/>
  <c r="N287" i="1" s="1"/>
  <c r="J282" i="1"/>
  <c r="N282" i="1" s="1"/>
  <c r="J277" i="1"/>
  <c r="N277" i="1" s="1"/>
  <c r="J271" i="1"/>
  <c r="N271" i="1" s="1"/>
  <c r="J266" i="1"/>
  <c r="N266" i="1" s="1"/>
  <c r="J261" i="1"/>
  <c r="N261" i="1" s="1"/>
  <c r="J255" i="1"/>
  <c r="N255" i="1" s="1"/>
  <c r="J250" i="1"/>
  <c r="N250" i="1" s="1"/>
  <c r="J245" i="1"/>
  <c r="N245" i="1" s="1"/>
  <c r="J239" i="1"/>
  <c r="N239" i="1" s="1"/>
  <c r="J234" i="1"/>
  <c r="N234" i="1" s="1"/>
  <c r="J229" i="1"/>
  <c r="N229" i="1" s="1"/>
  <c r="J223" i="1"/>
  <c r="N223" i="1" s="1"/>
  <c r="J218" i="1"/>
  <c r="N218" i="1" s="1"/>
  <c r="J213" i="1"/>
  <c r="N213" i="1" s="1"/>
  <c r="J207" i="1"/>
  <c r="N207" i="1" s="1"/>
  <c r="J202" i="1"/>
  <c r="N202" i="1" s="1"/>
  <c r="J197" i="1"/>
  <c r="N197" i="1" s="1"/>
  <c r="J191" i="1"/>
  <c r="N191" i="1" s="1"/>
  <c r="J186" i="1"/>
  <c r="N186" i="1" s="1"/>
  <c r="J181" i="1"/>
  <c r="N181" i="1" s="1"/>
  <c r="J175" i="1"/>
  <c r="N175" i="1" s="1"/>
  <c r="J170" i="1"/>
  <c r="N170" i="1" s="1"/>
  <c r="J165" i="1"/>
  <c r="N165" i="1" s="1"/>
  <c r="J159" i="1"/>
  <c r="N159" i="1" s="1"/>
  <c r="J154" i="1"/>
  <c r="N154" i="1" s="1"/>
  <c r="J149" i="1"/>
  <c r="N149" i="1" s="1"/>
  <c r="J143" i="1"/>
  <c r="N143" i="1" s="1"/>
  <c r="J138" i="1"/>
  <c r="N138" i="1" s="1"/>
  <c r="J133" i="1"/>
  <c r="N133" i="1" s="1"/>
  <c r="J127" i="1"/>
  <c r="N127" i="1" s="1"/>
  <c r="J122" i="1"/>
  <c r="N122" i="1" s="1"/>
  <c r="J117" i="1"/>
  <c r="N117" i="1" s="1"/>
  <c r="J111" i="1"/>
  <c r="N111" i="1" s="1"/>
  <c r="J106" i="1"/>
  <c r="N106" i="1" s="1"/>
  <c r="J101" i="1"/>
  <c r="N101" i="1" s="1"/>
  <c r="J95" i="1"/>
  <c r="N95" i="1" s="1"/>
  <c r="J90" i="1"/>
  <c r="N90" i="1" s="1"/>
  <c r="J85" i="1"/>
  <c r="N85" i="1" s="1"/>
  <c r="J79" i="1"/>
  <c r="N79" i="1" s="1"/>
  <c r="J74" i="1"/>
  <c r="N74" i="1" s="1"/>
  <c r="J69" i="1"/>
  <c r="N69" i="1" s="1"/>
  <c r="J63" i="1"/>
  <c r="N63" i="1" s="1"/>
  <c r="J58" i="1"/>
  <c r="N58" i="1" s="1"/>
  <c r="J53" i="1"/>
  <c r="N53" i="1" s="1"/>
  <c r="J47" i="1"/>
  <c r="N47" i="1" s="1"/>
  <c r="J42" i="1"/>
  <c r="N42" i="1" s="1"/>
  <c r="J37" i="1"/>
  <c r="N37" i="1" s="1"/>
  <c r="J31" i="1"/>
  <c r="N31" i="1" s="1"/>
  <c r="J26" i="1"/>
  <c r="N26" i="1" s="1"/>
  <c r="J21" i="1"/>
  <c r="N21" i="1" s="1"/>
  <c r="J15" i="1"/>
  <c r="N15" i="1" s="1"/>
  <c r="J10" i="1"/>
  <c r="N10" i="1" s="1"/>
  <c r="J5" i="1"/>
  <c r="N5" i="1" s="1"/>
  <c r="J25" i="1" l="1"/>
  <c r="N25" i="1" s="1"/>
  <c r="B13" i="2"/>
  <c r="U6" i="1"/>
</calcChain>
</file>

<file path=xl/sharedStrings.xml><?xml version="1.0" encoding="utf-8"?>
<sst xmlns="http://schemas.openxmlformats.org/spreadsheetml/2006/main" count="2104" uniqueCount="792">
  <si>
    <t>Order_ID</t>
  </si>
  <si>
    <t>Order_Date</t>
  </si>
  <si>
    <t>Customer_ID</t>
  </si>
  <si>
    <t>Category</t>
  </si>
  <si>
    <t>Product</t>
  </si>
  <si>
    <t>Quantity</t>
  </si>
  <si>
    <t>Price</t>
  </si>
  <si>
    <t>Discount</t>
  </si>
  <si>
    <t>Revenue</t>
  </si>
  <si>
    <t>O10000</t>
  </si>
  <si>
    <t>O10001</t>
  </si>
  <si>
    <t>O10002</t>
  </si>
  <si>
    <t>O10003</t>
  </si>
  <si>
    <t>O10004</t>
  </si>
  <si>
    <t>O10005</t>
  </si>
  <si>
    <t>O10006</t>
  </si>
  <si>
    <t>O10007</t>
  </si>
  <si>
    <t>O10008</t>
  </si>
  <si>
    <t>O10009</t>
  </si>
  <si>
    <t>O10010</t>
  </si>
  <si>
    <t>O10011</t>
  </si>
  <si>
    <t>O10012</t>
  </si>
  <si>
    <t>O10013</t>
  </si>
  <si>
    <t>O10014</t>
  </si>
  <si>
    <t>O10015</t>
  </si>
  <si>
    <t>O10016</t>
  </si>
  <si>
    <t>O10017</t>
  </si>
  <si>
    <t>O10018</t>
  </si>
  <si>
    <t>O10019</t>
  </si>
  <si>
    <t>O10020</t>
  </si>
  <si>
    <t>O10021</t>
  </si>
  <si>
    <t>O10022</t>
  </si>
  <si>
    <t>O10023</t>
  </si>
  <si>
    <t>O10024</t>
  </si>
  <si>
    <t>O10025</t>
  </si>
  <si>
    <t>O10026</t>
  </si>
  <si>
    <t>O10027</t>
  </si>
  <si>
    <t>O10028</t>
  </si>
  <si>
    <t>O10029</t>
  </si>
  <si>
    <t>O10030</t>
  </si>
  <si>
    <t>O10031</t>
  </si>
  <si>
    <t>O10032</t>
  </si>
  <si>
    <t>O10033</t>
  </si>
  <si>
    <t>O10034</t>
  </si>
  <si>
    <t>O10035</t>
  </si>
  <si>
    <t>O10036</t>
  </si>
  <si>
    <t>O10037</t>
  </si>
  <si>
    <t>O10038</t>
  </si>
  <si>
    <t>O10039</t>
  </si>
  <si>
    <t>O10040</t>
  </si>
  <si>
    <t>O10041</t>
  </si>
  <si>
    <t>O10042</t>
  </si>
  <si>
    <t>O10043</t>
  </si>
  <si>
    <t>O10044</t>
  </si>
  <si>
    <t>O10045</t>
  </si>
  <si>
    <t>O10046</t>
  </si>
  <si>
    <t>O10047</t>
  </si>
  <si>
    <t>O10048</t>
  </si>
  <si>
    <t>O10049</t>
  </si>
  <si>
    <t>O10050</t>
  </si>
  <si>
    <t>O10051</t>
  </si>
  <si>
    <t>O10052</t>
  </si>
  <si>
    <t>O10053</t>
  </si>
  <si>
    <t>O10054</t>
  </si>
  <si>
    <t>O10055</t>
  </si>
  <si>
    <t>O10056</t>
  </si>
  <si>
    <t>O10057</t>
  </si>
  <si>
    <t>O10058</t>
  </si>
  <si>
    <t>O10059</t>
  </si>
  <si>
    <t>O10060</t>
  </si>
  <si>
    <t>O10061</t>
  </si>
  <si>
    <t>O10062</t>
  </si>
  <si>
    <t>O10063</t>
  </si>
  <si>
    <t>O10064</t>
  </si>
  <si>
    <t>O10065</t>
  </si>
  <si>
    <t>O10066</t>
  </si>
  <si>
    <t>O10067</t>
  </si>
  <si>
    <t>O10068</t>
  </si>
  <si>
    <t>O10069</t>
  </si>
  <si>
    <t>O10070</t>
  </si>
  <si>
    <t>O10071</t>
  </si>
  <si>
    <t>O10072</t>
  </si>
  <si>
    <t>O10073</t>
  </si>
  <si>
    <t>O10074</t>
  </si>
  <si>
    <t>O10075</t>
  </si>
  <si>
    <t>O10076</t>
  </si>
  <si>
    <t>O10077</t>
  </si>
  <si>
    <t>O10078</t>
  </si>
  <si>
    <t>O10079</t>
  </si>
  <si>
    <t>O10080</t>
  </si>
  <si>
    <t>O10081</t>
  </si>
  <si>
    <t>O10082</t>
  </si>
  <si>
    <t>O10083</t>
  </si>
  <si>
    <t>O10084</t>
  </si>
  <si>
    <t>O10085</t>
  </si>
  <si>
    <t>O10086</t>
  </si>
  <si>
    <t>O10087</t>
  </si>
  <si>
    <t>O10088</t>
  </si>
  <si>
    <t>O10089</t>
  </si>
  <si>
    <t>O10090</t>
  </si>
  <si>
    <t>O10091</t>
  </si>
  <si>
    <t>O10092</t>
  </si>
  <si>
    <t>O10093</t>
  </si>
  <si>
    <t>O10094</t>
  </si>
  <si>
    <t>O10095</t>
  </si>
  <si>
    <t>O10096</t>
  </si>
  <si>
    <t>O10097</t>
  </si>
  <si>
    <t>O10098</t>
  </si>
  <si>
    <t>O10099</t>
  </si>
  <si>
    <t>O10100</t>
  </si>
  <si>
    <t>O10101</t>
  </si>
  <si>
    <t>O10102</t>
  </si>
  <si>
    <t>O10103</t>
  </si>
  <si>
    <t>O10104</t>
  </si>
  <si>
    <t>O10105</t>
  </si>
  <si>
    <t>O10106</t>
  </si>
  <si>
    <t>O10107</t>
  </si>
  <si>
    <t>O10108</t>
  </si>
  <si>
    <t>O10109</t>
  </si>
  <si>
    <t>O10110</t>
  </si>
  <si>
    <t>O10111</t>
  </si>
  <si>
    <t>O10112</t>
  </si>
  <si>
    <t>O10113</t>
  </si>
  <si>
    <t>O10114</t>
  </si>
  <si>
    <t>O10115</t>
  </si>
  <si>
    <t>O10116</t>
  </si>
  <si>
    <t>O10117</t>
  </si>
  <si>
    <t>O10118</t>
  </si>
  <si>
    <t>O10119</t>
  </si>
  <si>
    <t>O10120</t>
  </si>
  <si>
    <t>O10121</t>
  </si>
  <si>
    <t>O10122</t>
  </si>
  <si>
    <t>O10123</t>
  </si>
  <si>
    <t>O10124</t>
  </si>
  <si>
    <t>O10125</t>
  </si>
  <si>
    <t>O10126</t>
  </si>
  <si>
    <t>O10127</t>
  </si>
  <si>
    <t>O10128</t>
  </si>
  <si>
    <t>O10129</t>
  </si>
  <si>
    <t>O10130</t>
  </si>
  <si>
    <t>O10131</t>
  </si>
  <si>
    <t>O10132</t>
  </si>
  <si>
    <t>O10133</t>
  </si>
  <si>
    <t>O10134</t>
  </si>
  <si>
    <t>O10135</t>
  </si>
  <si>
    <t>O10136</t>
  </si>
  <si>
    <t>O10137</t>
  </si>
  <si>
    <t>O10138</t>
  </si>
  <si>
    <t>O10139</t>
  </si>
  <si>
    <t>O10140</t>
  </si>
  <si>
    <t>O10141</t>
  </si>
  <si>
    <t>O10142</t>
  </si>
  <si>
    <t>O10143</t>
  </si>
  <si>
    <t>O10144</t>
  </si>
  <si>
    <t>O10145</t>
  </si>
  <si>
    <t>O10146</t>
  </si>
  <si>
    <t>O10147</t>
  </si>
  <si>
    <t>O10148</t>
  </si>
  <si>
    <t>O10149</t>
  </si>
  <si>
    <t>O10150</t>
  </si>
  <si>
    <t>O10151</t>
  </si>
  <si>
    <t>O10152</t>
  </si>
  <si>
    <t>O10153</t>
  </si>
  <si>
    <t>O10154</t>
  </si>
  <si>
    <t>O10155</t>
  </si>
  <si>
    <t>O10156</t>
  </si>
  <si>
    <t>O10157</t>
  </si>
  <si>
    <t>O10158</t>
  </si>
  <si>
    <t>O10159</t>
  </si>
  <si>
    <t>O10160</t>
  </si>
  <si>
    <t>O10161</t>
  </si>
  <si>
    <t>O10162</t>
  </si>
  <si>
    <t>O10163</t>
  </si>
  <si>
    <t>O10164</t>
  </si>
  <si>
    <t>O10165</t>
  </si>
  <si>
    <t>O10166</t>
  </si>
  <si>
    <t>O10167</t>
  </si>
  <si>
    <t>O10168</t>
  </si>
  <si>
    <t>O10169</t>
  </si>
  <si>
    <t>O10170</t>
  </si>
  <si>
    <t>O10171</t>
  </si>
  <si>
    <t>O10172</t>
  </si>
  <si>
    <t>O10173</t>
  </si>
  <si>
    <t>O10174</t>
  </si>
  <si>
    <t>O10175</t>
  </si>
  <si>
    <t>O10176</t>
  </si>
  <si>
    <t>O10177</t>
  </si>
  <si>
    <t>O10178</t>
  </si>
  <si>
    <t>O10179</t>
  </si>
  <si>
    <t>O10180</t>
  </si>
  <si>
    <t>O10181</t>
  </si>
  <si>
    <t>O10182</t>
  </si>
  <si>
    <t>O10183</t>
  </si>
  <si>
    <t>O10184</t>
  </si>
  <si>
    <t>O10185</t>
  </si>
  <si>
    <t>O10186</t>
  </si>
  <si>
    <t>O10187</t>
  </si>
  <si>
    <t>O10188</t>
  </si>
  <si>
    <t>O10189</t>
  </si>
  <si>
    <t>O10190</t>
  </si>
  <si>
    <t>O10191</t>
  </si>
  <si>
    <t>O10192</t>
  </si>
  <si>
    <t>O10193</t>
  </si>
  <si>
    <t>O10194</t>
  </si>
  <si>
    <t>O10195</t>
  </si>
  <si>
    <t>O10196</t>
  </si>
  <si>
    <t>O10197</t>
  </si>
  <si>
    <t>O10198</t>
  </si>
  <si>
    <t>O10199</t>
  </si>
  <si>
    <t>O10200</t>
  </si>
  <si>
    <t>O10201</t>
  </si>
  <si>
    <t>O10202</t>
  </si>
  <si>
    <t>O10203</t>
  </si>
  <si>
    <t>O10204</t>
  </si>
  <si>
    <t>O10205</t>
  </si>
  <si>
    <t>O10206</t>
  </si>
  <si>
    <t>O10207</t>
  </si>
  <si>
    <t>O10208</t>
  </si>
  <si>
    <t>O10209</t>
  </si>
  <si>
    <t>O10210</t>
  </si>
  <si>
    <t>O10211</t>
  </si>
  <si>
    <t>O10212</t>
  </si>
  <si>
    <t>O10213</t>
  </si>
  <si>
    <t>O10214</t>
  </si>
  <si>
    <t>O10215</t>
  </si>
  <si>
    <t>O10216</t>
  </si>
  <si>
    <t>O10217</t>
  </si>
  <si>
    <t>O10218</t>
  </si>
  <si>
    <t>O10219</t>
  </si>
  <si>
    <t>O10220</t>
  </si>
  <si>
    <t>O10221</t>
  </si>
  <si>
    <t>O10222</t>
  </si>
  <si>
    <t>O10223</t>
  </si>
  <si>
    <t>O10224</t>
  </si>
  <si>
    <t>O10225</t>
  </si>
  <si>
    <t>O10226</t>
  </si>
  <si>
    <t>O10227</t>
  </si>
  <si>
    <t>O10228</t>
  </si>
  <si>
    <t>O10229</t>
  </si>
  <si>
    <t>O10230</t>
  </si>
  <si>
    <t>O10231</t>
  </si>
  <si>
    <t>O10232</t>
  </si>
  <si>
    <t>O10233</t>
  </si>
  <si>
    <t>O10234</t>
  </si>
  <si>
    <t>O10235</t>
  </si>
  <si>
    <t>O10236</t>
  </si>
  <si>
    <t>O10237</t>
  </si>
  <si>
    <t>O10238</t>
  </si>
  <si>
    <t>O10239</t>
  </si>
  <si>
    <t>O10240</t>
  </si>
  <si>
    <t>O10241</t>
  </si>
  <si>
    <t>O10242</t>
  </si>
  <si>
    <t>O10243</t>
  </si>
  <si>
    <t>O10244</t>
  </si>
  <si>
    <t>O10245</t>
  </si>
  <si>
    <t>O10246</t>
  </si>
  <si>
    <t>O10247</t>
  </si>
  <si>
    <t>O10248</t>
  </si>
  <si>
    <t>O10249</t>
  </si>
  <si>
    <t>O10250</t>
  </si>
  <si>
    <t>O10251</t>
  </si>
  <si>
    <t>O10252</t>
  </si>
  <si>
    <t>O10253</t>
  </si>
  <si>
    <t>O10254</t>
  </si>
  <si>
    <t>O10255</t>
  </si>
  <si>
    <t>O10256</t>
  </si>
  <si>
    <t>O10257</t>
  </si>
  <si>
    <t>O10258</t>
  </si>
  <si>
    <t>O10259</t>
  </si>
  <si>
    <t>O10260</t>
  </si>
  <si>
    <t>O10261</t>
  </si>
  <si>
    <t>O10262</t>
  </si>
  <si>
    <t>O10263</t>
  </si>
  <si>
    <t>O10264</t>
  </si>
  <si>
    <t>O10265</t>
  </si>
  <si>
    <t>O10266</t>
  </si>
  <si>
    <t>O10267</t>
  </si>
  <si>
    <t>O10268</t>
  </si>
  <si>
    <t>O10269</t>
  </si>
  <si>
    <t>O10270</t>
  </si>
  <si>
    <t>O10271</t>
  </si>
  <si>
    <t>O10272</t>
  </si>
  <si>
    <t>O10273</t>
  </si>
  <si>
    <t>O10274</t>
  </si>
  <si>
    <t>O10275</t>
  </si>
  <si>
    <t>O10276</t>
  </si>
  <si>
    <t>O10277</t>
  </si>
  <si>
    <t>O10278</t>
  </si>
  <si>
    <t>O10279</t>
  </si>
  <si>
    <t>O10280</t>
  </si>
  <si>
    <t>O10281</t>
  </si>
  <si>
    <t>O10282</t>
  </si>
  <si>
    <t>O10283</t>
  </si>
  <si>
    <t>O10284</t>
  </si>
  <si>
    <t>O10285</t>
  </si>
  <si>
    <t>O10286</t>
  </si>
  <si>
    <t>O10287</t>
  </si>
  <si>
    <t>O10288</t>
  </si>
  <si>
    <t>O10289</t>
  </si>
  <si>
    <t>O10290</t>
  </si>
  <si>
    <t>O10291</t>
  </si>
  <si>
    <t>O10292</t>
  </si>
  <si>
    <t>O10293</t>
  </si>
  <si>
    <t>O10294</t>
  </si>
  <si>
    <t>O10295</t>
  </si>
  <si>
    <t>O10296</t>
  </si>
  <si>
    <t>O10297</t>
  </si>
  <si>
    <t>O10298</t>
  </si>
  <si>
    <t>O10299</t>
  </si>
  <si>
    <t>O10300</t>
  </si>
  <si>
    <t>O10301</t>
  </si>
  <si>
    <t>O10302</t>
  </si>
  <si>
    <t>O10303</t>
  </si>
  <si>
    <t>O10304</t>
  </si>
  <si>
    <t>O10305</t>
  </si>
  <si>
    <t>O10306</t>
  </si>
  <si>
    <t>O10307</t>
  </si>
  <si>
    <t>O10308</t>
  </si>
  <si>
    <t>O10309</t>
  </si>
  <si>
    <t>O10310</t>
  </si>
  <si>
    <t>O10311</t>
  </si>
  <si>
    <t>O10312</t>
  </si>
  <si>
    <t>O10313</t>
  </si>
  <si>
    <t>O10314</t>
  </si>
  <si>
    <t>O10315</t>
  </si>
  <si>
    <t>O10316</t>
  </si>
  <si>
    <t>O10317</t>
  </si>
  <si>
    <t>O10318</t>
  </si>
  <si>
    <t>O10319</t>
  </si>
  <si>
    <t>O10320</t>
  </si>
  <si>
    <t>O10321</t>
  </si>
  <si>
    <t>O10322</t>
  </si>
  <si>
    <t>O10323</t>
  </si>
  <si>
    <t>O10324</t>
  </si>
  <si>
    <t>O10325</t>
  </si>
  <si>
    <t>O10326</t>
  </si>
  <si>
    <t>O10327</t>
  </si>
  <si>
    <t>O10328</t>
  </si>
  <si>
    <t>O10329</t>
  </si>
  <si>
    <t>O10330</t>
  </si>
  <si>
    <t>O10331</t>
  </si>
  <si>
    <t>O10332</t>
  </si>
  <si>
    <t>O10333</t>
  </si>
  <si>
    <t>O10334</t>
  </si>
  <si>
    <t>O10335</t>
  </si>
  <si>
    <t>O10336</t>
  </si>
  <si>
    <t>O10337</t>
  </si>
  <si>
    <t>O10338</t>
  </si>
  <si>
    <t>O10339</t>
  </si>
  <si>
    <t>O10340</t>
  </si>
  <si>
    <t>O10341</t>
  </si>
  <si>
    <t>O10342</t>
  </si>
  <si>
    <t>O10343</t>
  </si>
  <si>
    <t>O10344</t>
  </si>
  <si>
    <t>O10345</t>
  </si>
  <si>
    <t>O10346</t>
  </si>
  <si>
    <t>O10347</t>
  </si>
  <si>
    <t>O10348</t>
  </si>
  <si>
    <t>O10349</t>
  </si>
  <si>
    <t>O10350</t>
  </si>
  <si>
    <t>O10351</t>
  </si>
  <si>
    <t>O10352</t>
  </si>
  <si>
    <t>O10353</t>
  </si>
  <si>
    <t>O10354</t>
  </si>
  <si>
    <t>O10355</t>
  </si>
  <si>
    <t>O10356</t>
  </si>
  <si>
    <t>O10357</t>
  </si>
  <si>
    <t>O10358</t>
  </si>
  <si>
    <t>O10359</t>
  </si>
  <si>
    <t>O10360</t>
  </si>
  <si>
    <t>O10361</t>
  </si>
  <si>
    <t>O10362</t>
  </si>
  <si>
    <t>O10363</t>
  </si>
  <si>
    <t>O10364</t>
  </si>
  <si>
    <t>O10365</t>
  </si>
  <si>
    <t>O10366</t>
  </si>
  <si>
    <t>O10367</t>
  </si>
  <si>
    <t>O10368</t>
  </si>
  <si>
    <t>O10369</t>
  </si>
  <si>
    <t>O10370</t>
  </si>
  <si>
    <t>O10371</t>
  </si>
  <si>
    <t>O10372</t>
  </si>
  <si>
    <t>O10373</t>
  </si>
  <si>
    <t>O10374</t>
  </si>
  <si>
    <t>O10375</t>
  </si>
  <si>
    <t>O10376</t>
  </si>
  <si>
    <t>O10377</t>
  </si>
  <si>
    <t>O10378</t>
  </si>
  <si>
    <t>O10379</t>
  </si>
  <si>
    <t>O10380</t>
  </si>
  <si>
    <t>O10381</t>
  </si>
  <si>
    <t>O10382</t>
  </si>
  <si>
    <t>O10383</t>
  </si>
  <si>
    <t>O10384</t>
  </si>
  <si>
    <t>O10385</t>
  </si>
  <si>
    <t>O10386</t>
  </si>
  <si>
    <t>O10387</t>
  </si>
  <si>
    <t>O10388</t>
  </si>
  <si>
    <t>O10389</t>
  </si>
  <si>
    <t>O10390</t>
  </si>
  <si>
    <t>O10391</t>
  </si>
  <si>
    <t>O10392</t>
  </si>
  <si>
    <t>O10393</t>
  </si>
  <si>
    <t>O10394</t>
  </si>
  <si>
    <t>O10395</t>
  </si>
  <si>
    <t>O10396</t>
  </si>
  <si>
    <t>O10397</t>
  </si>
  <si>
    <t>O10398</t>
  </si>
  <si>
    <t>O10399</t>
  </si>
  <si>
    <t>O10400</t>
  </si>
  <si>
    <t>O10401</t>
  </si>
  <si>
    <t>O10402</t>
  </si>
  <si>
    <t>O10403</t>
  </si>
  <si>
    <t>O10404</t>
  </si>
  <si>
    <t>O10405</t>
  </si>
  <si>
    <t>O10406</t>
  </si>
  <si>
    <t>O10407</t>
  </si>
  <si>
    <t>O10408</t>
  </si>
  <si>
    <t>O10409</t>
  </si>
  <si>
    <t>O10410</t>
  </si>
  <si>
    <t>O10411</t>
  </si>
  <si>
    <t>O10412</t>
  </si>
  <si>
    <t>O10413</t>
  </si>
  <si>
    <t>O10414</t>
  </si>
  <si>
    <t>O10415</t>
  </si>
  <si>
    <t>O10416</t>
  </si>
  <si>
    <t>O10417</t>
  </si>
  <si>
    <t>O10418</t>
  </si>
  <si>
    <t>O10419</t>
  </si>
  <si>
    <t>O10420</t>
  </si>
  <si>
    <t>O10421</t>
  </si>
  <si>
    <t>O10422</t>
  </si>
  <si>
    <t>O10423</t>
  </si>
  <si>
    <t>O10424</t>
  </si>
  <si>
    <t>O10425</t>
  </si>
  <si>
    <t>O10426</t>
  </si>
  <si>
    <t>O10427</t>
  </si>
  <si>
    <t>O10428</t>
  </si>
  <si>
    <t>O10429</t>
  </si>
  <si>
    <t>O10430</t>
  </si>
  <si>
    <t>O10431</t>
  </si>
  <si>
    <t>O10432</t>
  </si>
  <si>
    <t>O10433</t>
  </si>
  <si>
    <t>O10434</t>
  </si>
  <si>
    <t>O10435</t>
  </si>
  <si>
    <t>O10436</t>
  </si>
  <si>
    <t>O10437</t>
  </si>
  <si>
    <t>O10438</t>
  </si>
  <si>
    <t>O10439</t>
  </si>
  <si>
    <t>O10440</t>
  </si>
  <si>
    <t>O10441</t>
  </si>
  <si>
    <t>O10442</t>
  </si>
  <si>
    <t>O10443</t>
  </si>
  <si>
    <t>O10444</t>
  </si>
  <si>
    <t>O10445</t>
  </si>
  <si>
    <t>O10446</t>
  </si>
  <si>
    <t>O10447</t>
  </si>
  <si>
    <t>O10448</t>
  </si>
  <si>
    <t>O10449</t>
  </si>
  <si>
    <t>O10450</t>
  </si>
  <si>
    <t>O10451</t>
  </si>
  <si>
    <t>O10452</t>
  </si>
  <si>
    <t>O10453</t>
  </si>
  <si>
    <t>O10454</t>
  </si>
  <si>
    <t>O10455</t>
  </si>
  <si>
    <t>O10456</t>
  </si>
  <si>
    <t>O10457</t>
  </si>
  <si>
    <t>O10458</t>
  </si>
  <si>
    <t>O10459</t>
  </si>
  <si>
    <t>O10460</t>
  </si>
  <si>
    <t>O10461</t>
  </si>
  <si>
    <t>O10462</t>
  </si>
  <si>
    <t>O10463</t>
  </si>
  <si>
    <t>O10464</t>
  </si>
  <si>
    <t>O10465</t>
  </si>
  <si>
    <t>O10466</t>
  </si>
  <si>
    <t>O10467</t>
  </si>
  <si>
    <t>O10468</t>
  </si>
  <si>
    <t>O10469</t>
  </si>
  <si>
    <t>O10470</t>
  </si>
  <si>
    <t>O10471</t>
  </si>
  <si>
    <t>O10472</t>
  </si>
  <si>
    <t>O10473</t>
  </si>
  <si>
    <t>O10474</t>
  </si>
  <si>
    <t>O10475</t>
  </si>
  <si>
    <t>O10476</t>
  </si>
  <si>
    <t>O10477</t>
  </si>
  <si>
    <t>O10478</t>
  </si>
  <si>
    <t>O10479</t>
  </si>
  <si>
    <t>O10480</t>
  </si>
  <si>
    <t>O10481</t>
  </si>
  <si>
    <t>O10482</t>
  </si>
  <si>
    <t>O10483</t>
  </si>
  <si>
    <t>O10484</t>
  </si>
  <si>
    <t>O10485</t>
  </si>
  <si>
    <t>O10486</t>
  </si>
  <si>
    <t>O10487</t>
  </si>
  <si>
    <t>O10488</t>
  </si>
  <si>
    <t>O10489</t>
  </si>
  <si>
    <t>O10490</t>
  </si>
  <si>
    <t>O10491</t>
  </si>
  <si>
    <t>O10492</t>
  </si>
  <si>
    <t>O10493</t>
  </si>
  <si>
    <t>O10494</t>
  </si>
  <si>
    <t>O10495</t>
  </si>
  <si>
    <t>O10496</t>
  </si>
  <si>
    <t>O10497</t>
  </si>
  <si>
    <t>O10498</t>
  </si>
  <si>
    <t>O10499</t>
  </si>
  <si>
    <t>C101</t>
  </si>
  <si>
    <t>C191</t>
  </si>
  <si>
    <t>C131</t>
  </si>
  <si>
    <t>C190</t>
  </si>
  <si>
    <t>C183</t>
  </si>
  <si>
    <t>C123</t>
  </si>
  <si>
    <t>C111</t>
  </si>
  <si>
    <t>C149</t>
  </si>
  <si>
    <t>C134</t>
  </si>
  <si>
    <t>C132</t>
  </si>
  <si>
    <t>C160</t>
  </si>
  <si>
    <t>C150</t>
  </si>
  <si>
    <t>C142</t>
  </si>
  <si>
    <t>C166</t>
  </si>
  <si>
    <t>C164</t>
  </si>
  <si>
    <t>C139</t>
  </si>
  <si>
    <t>C173</t>
  </si>
  <si>
    <t>C143</t>
  </si>
  <si>
    <t>C128</t>
  </si>
  <si>
    <t>C112</t>
  </si>
  <si>
    <t>C194</t>
  </si>
  <si>
    <t>C145</t>
  </si>
  <si>
    <t>C186</t>
  </si>
  <si>
    <t>C180</t>
  </si>
  <si>
    <t>C189</t>
  </si>
  <si>
    <t>C107</t>
  </si>
  <si>
    <t>C192</t>
  </si>
  <si>
    <t>C125</t>
  </si>
  <si>
    <t>C133</t>
  </si>
  <si>
    <t>C106</t>
  </si>
  <si>
    <t>C167</t>
  </si>
  <si>
    <t>C157</t>
  </si>
  <si>
    <t>C174</t>
  </si>
  <si>
    <t>C135</t>
  </si>
  <si>
    <t>C188</t>
  </si>
  <si>
    <t>C120</t>
  </si>
  <si>
    <t>C109</t>
  </si>
  <si>
    <t>C172</t>
  </si>
  <si>
    <t>C163</t>
  </si>
  <si>
    <t>C198</t>
  </si>
  <si>
    <t>C148</t>
  </si>
  <si>
    <t>C181</t>
  </si>
  <si>
    <t>C195</t>
  </si>
  <si>
    <t>C122</t>
  </si>
  <si>
    <t>C161</t>
  </si>
  <si>
    <t>C136</t>
  </si>
  <si>
    <t>C154</t>
  </si>
  <si>
    <t>C129</t>
  </si>
  <si>
    <t>C116</t>
  </si>
  <si>
    <t>C185</t>
  </si>
  <si>
    <t>C158</t>
  </si>
  <si>
    <t>C118</t>
  </si>
  <si>
    <t>C199</t>
  </si>
  <si>
    <t>C175</t>
  </si>
  <si>
    <t>C108</t>
  </si>
  <si>
    <t>C170</t>
  </si>
  <si>
    <t>C127</t>
  </si>
  <si>
    <t>C177</t>
  </si>
  <si>
    <t>C151</t>
  </si>
  <si>
    <t>C182</t>
  </si>
  <si>
    <t>C115</t>
  </si>
  <si>
    <t>C168</t>
  </si>
  <si>
    <t>C124</t>
  </si>
  <si>
    <t>C184</t>
  </si>
  <si>
    <t>C152</t>
  </si>
  <si>
    <t>C156</t>
  </si>
  <si>
    <t>C138</t>
  </si>
  <si>
    <t>C141</t>
  </si>
  <si>
    <t>C113</t>
  </si>
  <si>
    <t>C104</t>
  </si>
  <si>
    <t>C117</t>
  </si>
  <si>
    <t>C126</t>
  </si>
  <si>
    <t>C165</t>
  </si>
  <si>
    <t>C137</t>
  </si>
  <si>
    <t>C144</t>
  </si>
  <si>
    <t>C103</t>
  </si>
  <si>
    <t>C169</t>
  </si>
  <si>
    <t>C130</t>
  </si>
  <si>
    <t>C153</t>
  </si>
  <si>
    <t>C119</t>
  </si>
  <si>
    <t>C171</t>
  </si>
  <si>
    <t>C100</t>
  </si>
  <si>
    <t>C102</t>
  </si>
  <si>
    <t>C176</t>
  </si>
  <si>
    <t>C162</t>
  </si>
  <si>
    <t>C155</t>
  </si>
  <si>
    <t>C105</t>
  </si>
  <si>
    <t>C146</t>
  </si>
  <si>
    <t>C179</t>
  </si>
  <si>
    <t>C114</t>
  </si>
  <si>
    <t>C159</t>
  </si>
  <si>
    <t>C140</t>
  </si>
  <si>
    <t>C110</t>
  </si>
  <si>
    <t>C197</t>
  </si>
  <si>
    <t>C193</t>
  </si>
  <si>
    <t>C178</t>
  </si>
  <si>
    <t>C196</t>
  </si>
  <si>
    <t>C187</t>
  </si>
  <si>
    <t>C121</t>
  </si>
  <si>
    <t>C147</t>
  </si>
  <si>
    <t>Home</t>
  </si>
  <si>
    <t>Beauty</t>
  </si>
  <si>
    <t>Electronics</t>
  </si>
  <si>
    <t>Fashion</t>
  </si>
  <si>
    <t>Sports</t>
  </si>
  <si>
    <t>P59</t>
  </si>
  <si>
    <t>P37</t>
  </si>
  <si>
    <t>P61</t>
  </si>
  <si>
    <t>P43</t>
  </si>
  <si>
    <t>P70</t>
  </si>
  <si>
    <t>P39</t>
  </si>
  <si>
    <t>P56</t>
  </si>
  <si>
    <t>P63</t>
  </si>
  <si>
    <t>P46</t>
  </si>
  <si>
    <t>P88</t>
  </si>
  <si>
    <t>P11</t>
  </si>
  <si>
    <t>P62</t>
  </si>
  <si>
    <t>P77</t>
  </si>
  <si>
    <t>P98</t>
  </si>
  <si>
    <t>P25</t>
  </si>
  <si>
    <t>P71</t>
  </si>
  <si>
    <t>P52</t>
  </si>
  <si>
    <t>P4</t>
  </si>
  <si>
    <t>P72</t>
  </si>
  <si>
    <t>P20</t>
  </si>
  <si>
    <t>P93</t>
  </si>
  <si>
    <t>P54</t>
  </si>
  <si>
    <t>P74</t>
  </si>
  <si>
    <t>P57</t>
  </si>
  <si>
    <t>P90</t>
  </si>
  <si>
    <t>P41</t>
  </si>
  <si>
    <t>P3</t>
  </si>
  <si>
    <t>P6</t>
  </si>
  <si>
    <t>P5</t>
  </si>
  <si>
    <t>P47</t>
  </si>
  <si>
    <t>P87</t>
  </si>
  <si>
    <t>P49</t>
  </si>
  <si>
    <t>P9</t>
  </si>
  <si>
    <t>P99</t>
  </si>
  <si>
    <t>P35</t>
  </si>
  <si>
    <t>P50</t>
  </si>
  <si>
    <t>P82</t>
  </si>
  <si>
    <t>P17</t>
  </si>
  <si>
    <t>P32</t>
  </si>
  <si>
    <t>P13</t>
  </si>
  <si>
    <t>P89</t>
  </si>
  <si>
    <t>P73</t>
  </si>
  <si>
    <t>P68</t>
  </si>
  <si>
    <t>P14</t>
  </si>
  <si>
    <t>P67</t>
  </si>
  <si>
    <t>P92</t>
  </si>
  <si>
    <t>P29</t>
  </si>
  <si>
    <t>P76</t>
  </si>
  <si>
    <t>P42</t>
  </si>
  <si>
    <t>P79</t>
  </si>
  <si>
    <t>P40</t>
  </si>
  <si>
    <t>P38</t>
  </si>
  <si>
    <t>P48</t>
  </si>
  <si>
    <t>P18</t>
  </si>
  <si>
    <t>P60</t>
  </si>
  <si>
    <t>P28</t>
  </si>
  <si>
    <t>P69</t>
  </si>
  <si>
    <t>P81</t>
  </si>
  <si>
    <t>P45</t>
  </si>
  <si>
    <t>P96</t>
  </si>
  <si>
    <t>P58</t>
  </si>
  <si>
    <t>P91</t>
  </si>
  <si>
    <t>P33</t>
  </si>
  <si>
    <t>P19</t>
  </si>
  <si>
    <t>P80</t>
  </si>
  <si>
    <t>P97</t>
  </si>
  <si>
    <t>P53</t>
  </si>
  <si>
    <t>P27</t>
  </si>
  <si>
    <t>P7</t>
  </si>
  <si>
    <t>P31</t>
  </si>
  <si>
    <t>P23</t>
  </si>
  <si>
    <t>P10</t>
  </si>
  <si>
    <t>P30</t>
  </si>
  <si>
    <t>P2</t>
  </si>
  <si>
    <t>P78</t>
  </si>
  <si>
    <t>P12</t>
  </si>
  <si>
    <t>P66</t>
  </si>
  <si>
    <t>P95</t>
  </si>
  <si>
    <t>P64</t>
  </si>
  <si>
    <t>P83</t>
  </si>
  <si>
    <t>P94</t>
  </si>
  <si>
    <t>P22</t>
  </si>
  <si>
    <t>P65</t>
  </si>
  <si>
    <t>P36</t>
  </si>
  <si>
    <t>P51</t>
  </si>
  <si>
    <t>P75</t>
  </si>
  <si>
    <t>P26</t>
  </si>
  <si>
    <t>P15</t>
  </si>
  <si>
    <t>P84</t>
  </si>
  <si>
    <t>P21</t>
  </si>
  <si>
    <t>P1</t>
  </si>
  <si>
    <t>P34</t>
  </si>
  <si>
    <t>P24</t>
  </si>
  <si>
    <t>P8</t>
  </si>
  <si>
    <t>P44</t>
  </si>
  <si>
    <t>P86</t>
  </si>
  <si>
    <t>P55</t>
  </si>
  <si>
    <t>P85</t>
  </si>
  <si>
    <t>TOTAL REVENUE</t>
  </si>
  <si>
    <t>TOTAL ORDERS</t>
  </si>
  <si>
    <t>COUNT ignored Order_IDs because they are text</t>
  </si>
  <si>
    <t>COUNTA used to count non-empty Order_IDs</t>
  </si>
  <si>
    <t>Verified all Order_IDs are unique</t>
  </si>
  <si>
    <t>Blank revenue rows were ignored by SUM</t>
  </si>
  <si>
    <t>Only numeric revenue values (408 rows) were aggregated</t>
  </si>
  <si>
    <t>No error values present in revenue column</t>
  </si>
  <si>
    <t>TOTAL CUSTOMER</t>
  </si>
  <si>
    <t>Identified 267 unique customers</t>
  </si>
  <si>
    <t>COUNTIF-based uniqueness logic applied</t>
  </si>
  <si>
    <t>Repeat customers correctly consolidated</t>
  </si>
  <si>
    <t>AVERAGE ORDER VALUE</t>
  </si>
  <si>
    <t>Calculated as Total Revenue divided by Total Orders</t>
  </si>
  <si>
    <t>Uses previously validated KPIs</t>
  </si>
  <si>
    <t>Represents average spend per order</t>
  </si>
  <si>
    <t>AVERAGE ITEM PER ORDER</t>
  </si>
  <si>
    <t>Calculated using total quantity sold</t>
  </si>
  <si>
    <t>Normalized by unique orders</t>
  </si>
  <si>
    <t>Indicates basket size behavior</t>
  </si>
  <si>
    <t xml:space="preserve">AVERAGE DISCOUNT </t>
  </si>
  <si>
    <t>REVENUE PER CUSTOMER</t>
  </si>
  <si>
    <t>AVERAGE DISCOUNT</t>
  </si>
  <si>
    <t>Calculated as simple average of discount percentages</t>
  </si>
  <si>
    <t>Blank values excluded automatically</t>
  </si>
  <si>
    <t>Indicates pricing &amp; promotion intensity</t>
  </si>
  <si>
    <t>Calculated using validated Total Revenue and Total Customers</t>
  </si>
  <si>
    <t>Represents average lifetime spend per customer in dataset</t>
  </si>
  <si>
    <t>Sensitive to repeat purchase behavior</t>
  </si>
  <si>
    <t>high value order</t>
  </si>
  <si>
    <t xml:space="preserve">FLAGS </t>
  </si>
  <si>
    <t>HIGH ORDER VALUE</t>
  </si>
  <si>
    <t>Used absolute reference to lock AOV threshold</t>
  </si>
  <si>
    <t>Prevented row-shift errors during drag-down</t>
  </si>
  <si>
    <t>Ensured consistent comparison logic</t>
  </si>
  <si>
    <t>Discounted orders</t>
  </si>
  <si>
    <t>DISCOUNTED ORDERS</t>
  </si>
  <si>
    <t>USING IF</t>
  </si>
  <si>
    <t>Flagged orders with any discount applied</t>
  </si>
  <si>
    <t>Zero-discount orders classified separately</t>
  </si>
  <si>
    <t>Enables promo vs non-promo analysis</t>
  </si>
  <si>
    <t>Repeated customer</t>
  </si>
  <si>
    <t>REPEATED CUSTOMERS</t>
  </si>
  <si>
    <t>Identified customers with multiple orders</t>
  </si>
  <si>
    <t>COUNTIF-based frequency logic applied</t>
  </si>
  <si>
    <t>Enables retention and loyalty analysis</t>
  </si>
  <si>
    <t>High discount orders</t>
  </si>
  <si>
    <t>HIGH DISCOUNTED ORDERS</t>
  </si>
  <si>
    <t>Flagged orders where discount &gt; 15%</t>
  </si>
  <si>
    <t>Threshold is adjustable for business strategy</t>
  </si>
  <si>
    <t>Supports margin and promotion analysis</t>
  </si>
  <si>
    <t>VIP CUSTOMERS</t>
  </si>
  <si>
    <t>Vip customers</t>
  </si>
  <si>
    <t>customer total revenue</t>
  </si>
  <si>
    <t>One-time or low spend customers → No</t>
  </si>
  <si>
    <t>VIP count &lt; Total Customers</t>
  </si>
  <si>
    <t>Customers with multiple high spend orders → Yes</t>
  </si>
  <si>
    <t>q1 = quartile.inc(i2:i501,1)</t>
  </si>
  <si>
    <t>outliner flag</t>
  </si>
  <si>
    <t>Grand Total</t>
  </si>
  <si>
    <t>Sum of Revenue</t>
  </si>
  <si>
    <t>Column Labels</t>
  </si>
  <si>
    <t>Row Labels</t>
  </si>
  <si>
    <t>(blank)</t>
  </si>
  <si>
    <t>no</t>
  </si>
  <si>
    <t>yes</t>
  </si>
  <si>
    <t>Count of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</si>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</sst>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pivotButton="1"/>
    <xf numFmtId="0" fontId="0" fillId="0" borderId="0" xfId="0" applyNumberFormat="1"/>
    <xf numFmtId="0" fontId="0" fillId="0" borderId="0" xfId="0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analysis.xlsx]Sheet1!PivotTable1</c:name>
    <c:fmtId val="0"/>
  </c:pivotSource>
  <c:chart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Beauty</c:v>
                </c:pt>
              </c:strCache>
            </c:strRef>
          </c:tx>
          <c:invertIfNegative val="0"/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127646.15000000002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Electronics</c:v>
                </c:pt>
              </c:strCache>
            </c:strRef>
          </c:tx>
          <c:invertIfNegative val="0"/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Sheet1!$C$5</c:f>
              <c:numCache>
                <c:formatCode>General</c:formatCode>
                <c:ptCount val="1"/>
                <c:pt idx="0">
                  <c:v>163629.25000000009</c:v>
                </c:pt>
              </c:numCache>
            </c:numRef>
          </c:val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Fashion</c:v>
                </c:pt>
              </c:strCache>
            </c:strRef>
          </c:tx>
          <c:invertIfNegative val="0"/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Sheet1!$D$5</c:f>
              <c:numCache>
                <c:formatCode>General</c:formatCode>
                <c:ptCount val="1"/>
                <c:pt idx="0">
                  <c:v>136503.85000000003</c:v>
                </c:pt>
              </c:numCache>
            </c:numRef>
          </c:val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Home</c:v>
                </c:pt>
              </c:strCache>
            </c:strRef>
          </c:tx>
          <c:invertIfNegative val="0"/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Sheet1!$E$5</c:f>
              <c:numCache>
                <c:formatCode>General</c:formatCode>
                <c:ptCount val="1"/>
                <c:pt idx="0">
                  <c:v>126171.99999999996</c:v>
                </c:pt>
              </c:numCache>
            </c:numRef>
          </c:val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Sports</c:v>
                </c:pt>
              </c:strCache>
            </c:strRef>
          </c:tx>
          <c:invertIfNegative val="0"/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Sheet1!$F$5</c:f>
              <c:numCache>
                <c:formatCode>General</c:formatCode>
                <c:ptCount val="1"/>
                <c:pt idx="0">
                  <c:v>147431.29999999999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167296"/>
        <c:axId val="212189568"/>
      </c:barChart>
      <c:catAx>
        <c:axId val="212167296"/>
        <c:scaling>
          <c:orientation val="minMax"/>
        </c:scaling>
        <c:delete val="0"/>
        <c:axPos val="b"/>
        <c:majorTickMark val="out"/>
        <c:minorTickMark val="none"/>
        <c:tickLblPos val="nextTo"/>
        <c:crossAx val="212189568"/>
        <c:crossesAt val="0.5"/>
        <c:auto val="1"/>
        <c:lblAlgn val="ctr"/>
        <c:lblOffset val="100"/>
        <c:noMultiLvlLbl val="0"/>
      </c:catAx>
      <c:valAx>
        <c:axId val="212189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1672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analysis.xlsx]Sheet2!PivotTable1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Discounted</a:t>
            </a:r>
            <a:r>
              <a:rPr lang="en-US" baseline="0"/>
              <a:t> vs non discounted orders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explosion val="25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Sheet2!$A$4:$A$7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170</c:v>
                </c:pt>
                <c:pt idx="1">
                  <c:v>330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egendEntry>
        <c:idx val="2"/>
        <c:delete val="1"/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analysis.xlsx]Sheet3!PivotTable2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revenue</a:t>
            </a:r>
            <a:r>
              <a:rPr lang="en-US" baseline="0"/>
              <a:t> by month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25</c:v>
                </c:pt>
                <c:pt idx="1">
                  <c:v>40</c:v>
                </c:pt>
                <c:pt idx="2">
                  <c:v>20</c:v>
                </c:pt>
                <c:pt idx="3">
                  <c:v>45</c:v>
                </c:pt>
                <c:pt idx="4">
                  <c:v>37</c:v>
                </c:pt>
                <c:pt idx="5">
                  <c:v>38</c:v>
                </c:pt>
                <c:pt idx="6">
                  <c:v>29</c:v>
                </c:pt>
                <c:pt idx="7">
                  <c:v>41</c:v>
                </c:pt>
                <c:pt idx="8">
                  <c:v>35</c:v>
                </c:pt>
                <c:pt idx="9">
                  <c:v>36</c:v>
                </c:pt>
                <c:pt idx="10">
                  <c:v>32</c:v>
                </c:pt>
                <c:pt idx="11">
                  <c:v>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902912"/>
        <c:axId val="156904448"/>
      </c:lineChart>
      <c:catAx>
        <c:axId val="156902912"/>
        <c:scaling>
          <c:orientation val="minMax"/>
        </c:scaling>
        <c:delete val="0"/>
        <c:axPos val="b"/>
        <c:majorTickMark val="out"/>
        <c:minorTickMark val="none"/>
        <c:tickLblPos val="nextTo"/>
        <c:crossAx val="156904448"/>
        <c:crosses val="autoZero"/>
        <c:auto val="1"/>
        <c:lblAlgn val="ctr"/>
        <c:lblOffset val="100"/>
        <c:noMultiLvlLbl val="0"/>
      </c:catAx>
      <c:valAx>
        <c:axId val="156904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9029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outliers</a:t>
            </a:r>
          </a:p>
        </c:rich>
      </c:tx>
      <c:layout>
        <c:manualLayout>
          <c:xMode val="edge"/>
          <c:yMode val="edge"/>
          <c:x val="0.29356933508311456"/>
          <c:y val="2.7777777777777776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'raw data'!$I$1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>
              <a:noFill/>
            </a:ln>
          </c:spPr>
          <c:xVal>
            <c:strRef>
              <c:f>'raw data'!$A$2:$A$501</c:f>
              <c:strCache>
                <c:ptCount val="500"/>
                <c:pt idx="0">
                  <c:v>O10000</c:v>
                </c:pt>
                <c:pt idx="1">
                  <c:v>O10001</c:v>
                </c:pt>
                <c:pt idx="2">
                  <c:v>O10002</c:v>
                </c:pt>
                <c:pt idx="3">
                  <c:v>O10003</c:v>
                </c:pt>
                <c:pt idx="4">
                  <c:v>O10004</c:v>
                </c:pt>
                <c:pt idx="5">
                  <c:v>O10005</c:v>
                </c:pt>
                <c:pt idx="6">
                  <c:v>O10006</c:v>
                </c:pt>
                <c:pt idx="7">
                  <c:v>O10007</c:v>
                </c:pt>
                <c:pt idx="8">
                  <c:v>O10008</c:v>
                </c:pt>
                <c:pt idx="9">
                  <c:v>O10009</c:v>
                </c:pt>
                <c:pt idx="10">
                  <c:v>O10010</c:v>
                </c:pt>
                <c:pt idx="11">
                  <c:v>O10011</c:v>
                </c:pt>
                <c:pt idx="12">
                  <c:v>O10012</c:v>
                </c:pt>
                <c:pt idx="13">
                  <c:v>O10013</c:v>
                </c:pt>
                <c:pt idx="14">
                  <c:v>O10014</c:v>
                </c:pt>
                <c:pt idx="15">
                  <c:v>O10015</c:v>
                </c:pt>
                <c:pt idx="16">
                  <c:v>O10016</c:v>
                </c:pt>
                <c:pt idx="17">
                  <c:v>O10017</c:v>
                </c:pt>
                <c:pt idx="18">
                  <c:v>O10018</c:v>
                </c:pt>
                <c:pt idx="19">
                  <c:v>O10019</c:v>
                </c:pt>
                <c:pt idx="20">
                  <c:v>O10020</c:v>
                </c:pt>
                <c:pt idx="21">
                  <c:v>O10021</c:v>
                </c:pt>
                <c:pt idx="22">
                  <c:v>O10022</c:v>
                </c:pt>
                <c:pt idx="23">
                  <c:v>O10023</c:v>
                </c:pt>
                <c:pt idx="24">
                  <c:v>O10024</c:v>
                </c:pt>
                <c:pt idx="25">
                  <c:v>O10025</c:v>
                </c:pt>
                <c:pt idx="26">
                  <c:v>O10026</c:v>
                </c:pt>
                <c:pt idx="27">
                  <c:v>O10027</c:v>
                </c:pt>
                <c:pt idx="28">
                  <c:v>O10028</c:v>
                </c:pt>
                <c:pt idx="29">
                  <c:v>O10029</c:v>
                </c:pt>
                <c:pt idx="30">
                  <c:v>O10030</c:v>
                </c:pt>
                <c:pt idx="31">
                  <c:v>O10031</c:v>
                </c:pt>
                <c:pt idx="32">
                  <c:v>O10032</c:v>
                </c:pt>
                <c:pt idx="33">
                  <c:v>O10033</c:v>
                </c:pt>
                <c:pt idx="34">
                  <c:v>O10034</c:v>
                </c:pt>
                <c:pt idx="35">
                  <c:v>O10035</c:v>
                </c:pt>
                <c:pt idx="36">
                  <c:v>O10036</c:v>
                </c:pt>
                <c:pt idx="37">
                  <c:v>O10037</c:v>
                </c:pt>
                <c:pt idx="38">
                  <c:v>O10038</c:v>
                </c:pt>
                <c:pt idx="39">
                  <c:v>O10039</c:v>
                </c:pt>
                <c:pt idx="40">
                  <c:v>O10040</c:v>
                </c:pt>
                <c:pt idx="41">
                  <c:v>O10041</c:v>
                </c:pt>
                <c:pt idx="42">
                  <c:v>O10042</c:v>
                </c:pt>
                <c:pt idx="43">
                  <c:v>O10043</c:v>
                </c:pt>
                <c:pt idx="44">
                  <c:v>O10044</c:v>
                </c:pt>
                <c:pt idx="45">
                  <c:v>O10045</c:v>
                </c:pt>
                <c:pt idx="46">
                  <c:v>O10046</c:v>
                </c:pt>
                <c:pt idx="47">
                  <c:v>O10047</c:v>
                </c:pt>
                <c:pt idx="48">
                  <c:v>O10048</c:v>
                </c:pt>
                <c:pt idx="49">
                  <c:v>O10049</c:v>
                </c:pt>
                <c:pt idx="50">
                  <c:v>O10050</c:v>
                </c:pt>
                <c:pt idx="51">
                  <c:v>O10051</c:v>
                </c:pt>
                <c:pt idx="52">
                  <c:v>O10052</c:v>
                </c:pt>
                <c:pt idx="53">
                  <c:v>O10053</c:v>
                </c:pt>
                <c:pt idx="54">
                  <c:v>O10054</c:v>
                </c:pt>
                <c:pt idx="55">
                  <c:v>O10055</c:v>
                </c:pt>
                <c:pt idx="56">
                  <c:v>O10056</c:v>
                </c:pt>
                <c:pt idx="57">
                  <c:v>O10057</c:v>
                </c:pt>
                <c:pt idx="58">
                  <c:v>O10058</c:v>
                </c:pt>
                <c:pt idx="59">
                  <c:v>O10059</c:v>
                </c:pt>
                <c:pt idx="60">
                  <c:v>O10060</c:v>
                </c:pt>
                <c:pt idx="61">
                  <c:v>O10061</c:v>
                </c:pt>
                <c:pt idx="62">
                  <c:v>O10062</c:v>
                </c:pt>
                <c:pt idx="63">
                  <c:v>O10063</c:v>
                </c:pt>
                <c:pt idx="64">
                  <c:v>O10064</c:v>
                </c:pt>
                <c:pt idx="65">
                  <c:v>O10065</c:v>
                </c:pt>
                <c:pt idx="66">
                  <c:v>O10066</c:v>
                </c:pt>
                <c:pt idx="67">
                  <c:v>O10067</c:v>
                </c:pt>
                <c:pt idx="68">
                  <c:v>O10068</c:v>
                </c:pt>
                <c:pt idx="69">
                  <c:v>O10069</c:v>
                </c:pt>
                <c:pt idx="70">
                  <c:v>O10070</c:v>
                </c:pt>
                <c:pt idx="71">
                  <c:v>O10071</c:v>
                </c:pt>
                <c:pt idx="72">
                  <c:v>O10072</c:v>
                </c:pt>
                <c:pt idx="73">
                  <c:v>O10073</c:v>
                </c:pt>
                <c:pt idx="74">
                  <c:v>O10074</c:v>
                </c:pt>
                <c:pt idx="75">
                  <c:v>O10075</c:v>
                </c:pt>
                <c:pt idx="76">
                  <c:v>O10076</c:v>
                </c:pt>
                <c:pt idx="77">
                  <c:v>O10077</c:v>
                </c:pt>
                <c:pt idx="78">
                  <c:v>O10078</c:v>
                </c:pt>
                <c:pt idx="79">
                  <c:v>O10079</c:v>
                </c:pt>
                <c:pt idx="80">
                  <c:v>O10080</c:v>
                </c:pt>
                <c:pt idx="81">
                  <c:v>O10081</c:v>
                </c:pt>
                <c:pt idx="82">
                  <c:v>O10082</c:v>
                </c:pt>
                <c:pt idx="83">
                  <c:v>O10083</c:v>
                </c:pt>
                <c:pt idx="84">
                  <c:v>O10084</c:v>
                </c:pt>
                <c:pt idx="85">
                  <c:v>O10085</c:v>
                </c:pt>
                <c:pt idx="86">
                  <c:v>O10086</c:v>
                </c:pt>
                <c:pt idx="87">
                  <c:v>O10087</c:v>
                </c:pt>
                <c:pt idx="88">
                  <c:v>O10088</c:v>
                </c:pt>
                <c:pt idx="89">
                  <c:v>O10089</c:v>
                </c:pt>
                <c:pt idx="90">
                  <c:v>O10090</c:v>
                </c:pt>
                <c:pt idx="91">
                  <c:v>O10091</c:v>
                </c:pt>
                <c:pt idx="92">
                  <c:v>O10092</c:v>
                </c:pt>
                <c:pt idx="93">
                  <c:v>O10093</c:v>
                </c:pt>
                <c:pt idx="94">
                  <c:v>O10094</c:v>
                </c:pt>
                <c:pt idx="95">
                  <c:v>O10095</c:v>
                </c:pt>
                <c:pt idx="96">
                  <c:v>O10096</c:v>
                </c:pt>
                <c:pt idx="97">
                  <c:v>O10097</c:v>
                </c:pt>
                <c:pt idx="98">
                  <c:v>O10098</c:v>
                </c:pt>
                <c:pt idx="99">
                  <c:v>O10099</c:v>
                </c:pt>
                <c:pt idx="100">
                  <c:v>O10100</c:v>
                </c:pt>
                <c:pt idx="101">
                  <c:v>O10101</c:v>
                </c:pt>
                <c:pt idx="102">
                  <c:v>O10102</c:v>
                </c:pt>
                <c:pt idx="103">
                  <c:v>O10103</c:v>
                </c:pt>
                <c:pt idx="104">
                  <c:v>O10104</c:v>
                </c:pt>
                <c:pt idx="105">
                  <c:v>O10105</c:v>
                </c:pt>
                <c:pt idx="106">
                  <c:v>O10106</c:v>
                </c:pt>
                <c:pt idx="107">
                  <c:v>O10107</c:v>
                </c:pt>
                <c:pt idx="108">
                  <c:v>O10108</c:v>
                </c:pt>
                <c:pt idx="109">
                  <c:v>O10109</c:v>
                </c:pt>
                <c:pt idx="110">
                  <c:v>O10110</c:v>
                </c:pt>
                <c:pt idx="111">
                  <c:v>O10111</c:v>
                </c:pt>
                <c:pt idx="112">
                  <c:v>O10112</c:v>
                </c:pt>
                <c:pt idx="113">
                  <c:v>O10113</c:v>
                </c:pt>
                <c:pt idx="114">
                  <c:v>O10114</c:v>
                </c:pt>
                <c:pt idx="115">
                  <c:v>O10115</c:v>
                </c:pt>
                <c:pt idx="116">
                  <c:v>O10116</c:v>
                </c:pt>
                <c:pt idx="117">
                  <c:v>O10117</c:v>
                </c:pt>
                <c:pt idx="118">
                  <c:v>O10118</c:v>
                </c:pt>
                <c:pt idx="119">
                  <c:v>O10119</c:v>
                </c:pt>
                <c:pt idx="120">
                  <c:v>O10120</c:v>
                </c:pt>
                <c:pt idx="121">
                  <c:v>O10121</c:v>
                </c:pt>
                <c:pt idx="122">
                  <c:v>O10122</c:v>
                </c:pt>
                <c:pt idx="123">
                  <c:v>O10123</c:v>
                </c:pt>
                <c:pt idx="124">
                  <c:v>O10124</c:v>
                </c:pt>
                <c:pt idx="125">
                  <c:v>O10125</c:v>
                </c:pt>
                <c:pt idx="126">
                  <c:v>O10126</c:v>
                </c:pt>
                <c:pt idx="127">
                  <c:v>O10127</c:v>
                </c:pt>
                <c:pt idx="128">
                  <c:v>O10128</c:v>
                </c:pt>
                <c:pt idx="129">
                  <c:v>O10129</c:v>
                </c:pt>
                <c:pt idx="130">
                  <c:v>O10130</c:v>
                </c:pt>
                <c:pt idx="131">
                  <c:v>O10131</c:v>
                </c:pt>
                <c:pt idx="132">
                  <c:v>O10132</c:v>
                </c:pt>
                <c:pt idx="133">
                  <c:v>O10133</c:v>
                </c:pt>
                <c:pt idx="134">
                  <c:v>O10134</c:v>
                </c:pt>
                <c:pt idx="135">
                  <c:v>O10135</c:v>
                </c:pt>
                <c:pt idx="136">
                  <c:v>O10136</c:v>
                </c:pt>
                <c:pt idx="137">
                  <c:v>O10137</c:v>
                </c:pt>
                <c:pt idx="138">
                  <c:v>O10138</c:v>
                </c:pt>
                <c:pt idx="139">
                  <c:v>O10139</c:v>
                </c:pt>
                <c:pt idx="140">
                  <c:v>O10140</c:v>
                </c:pt>
                <c:pt idx="141">
                  <c:v>O10141</c:v>
                </c:pt>
                <c:pt idx="142">
                  <c:v>O10142</c:v>
                </c:pt>
                <c:pt idx="143">
                  <c:v>O10143</c:v>
                </c:pt>
                <c:pt idx="144">
                  <c:v>O10144</c:v>
                </c:pt>
                <c:pt idx="145">
                  <c:v>O10145</c:v>
                </c:pt>
                <c:pt idx="146">
                  <c:v>O10146</c:v>
                </c:pt>
                <c:pt idx="147">
                  <c:v>O10147</c:v>
                </c:pt>
                <c:pt idx="148">
                  <c:v>O10148</c:v>
                </c:pt>
                <c:pt idx="149">
                  <c:v>O10149</c:v>
                </c:pt>
                <c:pt idx="150">
                  <c:v>O10150</c:v>
                </c:pt>
                <c:pt idx="151">
                  <c:v>O10151</c:v>
                </c:pt>
                <c:pt idx="152">
                  <c:v>O10152</c:v>
                </c:pt>
                <c:pt idx="153">
                  <c:v>O10153</c:v>
                </c:pt>
                <c:pt idx="154">
                  <c:v>O10154</c:v>
                </c:pt>
                <c:pt idx="155">
                  <c:v>O10155</c:v>
                </c:pt>
                <c:pt idx="156">
                  <c:v>O10156</c:v>
                </c:pt>
                <c:pt idx="157">
                  <c:v>O10157</c:v>
                </c:pt>
                <c:pt idx="158">
                  <c:v>O10158</c:v>
                </c:pt>
                <c:pt idx="159">
                  <c:v>O10159</c:v>
                </c:pt>
                <c:pt idx="160">
                  <c:v>O10160</c:v>
                </c:pt>
                <c:pt idx="161">
                  <c:v>O10161</c:v>
                </c:pt>
                <c:pt idx="162">
                  <c:v>O10162</c:v>
                </c:pt>
                <c:pt idx="163">
                  <c:v>O10163</c:v>
                </c:pt>
                <c:pt idx="164">
                  <c:v>O10164</c:v>
                </c:pt>
                <c:pt idx="165">
                  <c:v>O10165</c:v>
                </c:pt>
                <c:pt idx="166">
                  <c:v>O10166</c:v>
                </c:pt>
                <c:pt idx="167">
                  <c:v>O10167</c:v>
                </c:pt>
                <c:pt idx="168">
                  <c:v>O10168</c:v>
                </c:pt>
                <c:pt idx="169">
                  <c:v>O10169</c:v>
                </c:pt>
                <c:pt idx="170">
                  <c:v>O10170</c:v>
                </c:pt>
                <c:pt idx="171">
                  <c:v>O10171</c:v>
                </c:pt>
                <c:pt idx="172">
                  <c:v>O10172</c:v>
                </c:pt>
                <c:pt idx="173">
                  <c:v>O10173</c:v>
                </c:pt>
                <c:pt idx="174">
                  <c:v>O10174</c:v>
                </c:pt>
                <c:pt idx="175">
                  <c:v>O10175</c:v>
                </c:pt>
                <c:pt idx="176">
                  <c:v>O10176</c:v>
                </c:pt>
                <c:pt idx="177">
                  <c:v>O10177</c:v>
                </c:pt>
                <c:pt idx="178">
                  <c:v>O10178</c:v>
                </c:pt>
                <c:pt idx="179">
                  <c:v>O10179</c:v>
                </c:pt>
                <c:pt idx="180">
                  <c:v>O10180</c:v>
                </c:pt>
                <c:pt idx="181">
                  <c:v>O10181</c:v>
                </c:pt>
                <c:pt idx="182">
                  <c:v>O10182</c:v>
                </c:pt>
                <c:pt idx="183">
                  <c:v>O10183</c:v>
                </c:pt>
                <c:pt idx="184">
                  <c:v>O10184</c:v>
                </c:pt>
                <c:pt idx="185">
                  <c:v>O10185</c:v>
                </c:pt>
                <c:pt idx="186">
                  <c:v>O10186</c:v>
                </c:pt>
                <c:pt idx="187">
                  <c:v>O10187</c:v>
                </c:pt>
                <c:pt idx="188">
                  <c:v>O10188</c:v>
                </c:pt>
                <c:pt idx="189">
                  <c:v>O10189</c:v>
                </c:pt>
                <c:pt idx="190">
                  <c:v>O10190</c:v>
                </c:pt>
                <c:pt idx="191">
                  <c:v>O10191</c:v>
                </c:pt>
                <c:pt idx="192">
                  <c:v>O10192</c:v>
                </c:pt>
                <c:pt idx="193">
                  <c:v>O10193</c:v>
                </c:pt>
                <c:pt idx="194">
                  <c:v>O10194</c:v>
                </c:pt>
                <c:pt idx="195">
                  <c:v>O10195</c:v>
                </c:pt>
                <c:pt idx="196">
                  <c:v>O10196</c:v>
                </c:pt>
                <c:pt idx="197">
                  <c:v>O10197</c:v>
                </c:pt>
                <c:pt idx="198">
                  <c:v>O10198</c:v>
                </c:pt>
                <c:pt idx="199">
                  <c:v>O10199</c:v>
                </c:pt>
                <c:pt idx="200">
                  <c:v>O10200</c:v>
                </c:pt>
                <c:pt idx="201">
                  <c:v>O10201</c:v>
                </c:pt>
                <c:pt idx="202">
                  <c:v>O10202</c:v>
                </c:pt>
                <c:pt idx="203">
                  <c:v>O10203</c:v>
                </c:pt>
                <c:pt idx="204">
                  <c:v>O10204</c:v>
                </c:pt>
                <c:pt idx="205">
                  <c:v>O10205</c:v>
                </c:pt>
                <c:pt idx="206">
                  <c:v>O10206</c:v>
                </c:pt>
                <c:pt idx="207">
                  <c:v>O10207</c:v>
                </c:pt>
                <c:pt idx="208">
                  <c:v>O10208</c:v>
                </c:pt>
                <c:pt idx="209">
                  <c:v>O10209</c:v>
                </c:pt>
                <c:pt idx="210">
                  <c:v>O10210</c:v>
                </c:pt>
                <c:pt idx="211">
                  <c:v>O10211</c:v>
                </c:pt>
                <c:pt idx="212">
                  <c:v>O10212</c:v>
                </c:pt>
                <c:pt idx="213">
                  <c:v>O10213</c:v>
                </c:pt>
                <c:pt idx="214">
                  <c:v>O10214</c:v>
                </c:pt>
                <c:pt idx="215">
                  <c:v>O10215</c:v>
                </c:pt>
                <c:pt idx="216">
                  <c:v>O10216</c:v>
                </c:pt>
                <c:pt idx="217">
                  <c:v>O10217</c:v>
                </c:pt>
                <c:pt idx="218">
                  <c:v>O10218</c:v>
                </c:pt>
                <c:pt idx="219">
                  <c:v>O10219</c:v>
                </c:pt>
                <c:pt idx="220">
                  <c:v>O10220</c:v>
                </c:pt>
                <c:pt idx="221">
                  <c:v>O10221</c:v>
                </c:pt>
                <c:pt idx="222">
                  <c:v>O10222</c:v>
                </c:pt>
                <c:pt idx="223">
                  <c:v>O10223</c:v>
                </c:pt>
                <c:pt idx="224">
                  <c:v>O10224</c:v>
                </c:pt>
                <c:pt idx="225">
                  <c:v>O10225</c:v>
                </c:pt>
                <c:pt idx="226">
                  <c:v>O10226</c:v>
                </c:pt>
                <c:pt idx="227">
                  <c:v>O10227</c:v>
                </c:pt>
                <c:pt idx="228">
                  <c:v>O10228</c:v>
                </c:pt>
                <c:pt idx="229">
                  <c:v>O10229</c:v>
                </c:pt>
                <c:pt idx="230">
                  <c:v>O10230</c:v>
                </c:pt>
                <c:pt idx="231">
                  <c:v>O10231</c:v>
                </c:pt>
                <c:pt idx="232">
                  <c:v>O10232</c:v>
                </c:pt>
                <c:pt idx="233">
                  <c:v>O10233</c:v>
                </c:pt>
                <c:pt idx="234">
                  <c:v>O10234</c:v>
                </c:pt>
                <c:pt idx="235">
                  <c:v>O10235</c:v>
                </c:pt>
                <c:pt idx="236">
                  <c:v>O10236</c:v>
                </c:pt>
                <c:pt idx="237">
                  <c:v>O10237</c:v>
                </c:pt>
                <c:pt idx="238">
                  <c:v>O10238</c:v>
                </c:pt>
                <c:pt idx="239">
                  <c:v>O10239</c:v>
                </c:pt>
                <c:pt idx="240">
                  <c:v>O10240</c:v>
                </c:pt>
                <c:pt idx="241">
                  <c:v>O10241</c:v>
                </c:pt>
                <c:pt idx="242">
                  <c:v>O10242</c:v>
                </c:pt>
                <c:pt idx="243">
                  <c:v>O10243</c:v>
                </c:pt>
                <c:pt idx="244">
                  <c:v>O10244</c:v>
                </c:pt>
                <c:pt idx="245">
                  <c:v>O10245</c:v>
                </c:pt>
                <c:pt idx="246">
                  <c:v>O10246</c:v>
                </c:pt>
                <c:pt idx="247">
                  <c:v>O10247</c:v>
                </c:pt>
                <c:pt idx="248">
                  <c:v>O10248</c:v>
                </c:pt>
                <c:pt idx="249">
                  <c:v>O10249</c:v>
                </c:pt>
                <c:pt idx="250">
                  <c:v>O10250</c:v>
                </c:pt>
                <c:pt idx="251">
                  <c:v>O10251</c:v>
                </c:pt>
                <c:pt idx="252">
                  <c:v>O10252</c:v>
                </c:pt>
                <c:pt idx="253">
                  <c:v>O10253</c:v>
                </c:pt>
                <c:pt idx="254">
                  <c:v>O10254</c:v>
                </c:pt>
                <c:pt idx="255">
                  <c:v>O10255</c:v>
                </c:pt>
                <c:pt idx="256">
                  <c:v>O10256</c:v>
                </c:pt>
                <c:pt idx="257">
                  <c:v>O10257</c:v>
                </c:pt>
                <c:pt idx="258">
                  <c:v>O10258</c:v>
                </c:pt>
                <c:pt idx="259">
                  <c:v>O10259</c:v>
                </c:pt>
                <c:pt idx="260">
                  <c:v>O10260</c:v>
                </c:pt>
                <c:pt idx="261">
                  <c:v>O10261</c:v>
                </c:pt>
                <c:pt idx="262">
                  <c:v>O10262</c:v>
                </c:pt>
                <c:pt idx="263">
                  <c:v>O10263</c:v>
                </c:pt>
                <c:pt idx="264">
                  <c:v>O10264</c:v>
                </c:pt>
                <c:pt idx="265">
                  <c:v>O10265</c:v>
                </c:pt>
                <c:pt idx="266">
                  <c:v>O10266</c:v>
                </c:pt>
                <c:pt idx="267">
                  <c:v>O10267</c:v>
                </c:pt>
                <c:pt idx="268">
                  <c:v>O10268</c:v>
                </c:pt>
                <c:pt idx="269">
                  <c:v>O10269</c:v>
                </c:pt>
                <c:pt idx="270">
                  <c:v>O10270</c:v>
                </c:pt>
                <c:pt idx="271">
                  <c:v>O10271</c:v>
                </c:pt>
                <c:pt idx="272">
                  <c:v>O10272</c:v>
                </c:pt>
                <c:pt idx="273">
                  <c:v>O10273</c:v>
                </c:pt>
                <c:pt idx="274">
                  <c:v>O10274</c:v>
                </c:pt>
                <c:pt idx="275">
                  <c:v>O10275</c:v>
                </c:pt>
                <c:pt idx="276">
                  <c:v>O10276</c:v>
                </c:pt>
                <c:pt idx="277">
                  <c:v>O10277</c:v>
                </c:pt>
                <c:pt idx="278">
                  <c:v>O10278</c:v>
                </c:pt>
                <c:pt idx="279">
                  <c:v>O10279</c:v>
                </c:pt>
                <c:pt idx="280">
                  <c:v>O10280</c:v>
                </c:pt>
                <c:pt idx="281">
                  <c:v>O10281</c:v>
                </c:pt>
                <c:pt idx="282">
                  <c:v>O10282</c:v>
                </c:pt>
                <c:pt idx="283">
                  <c:v>O10283</c:v>
                </c:pt>
                <c:pt idx="284">
                  <c:v>O10284</c:v>
                </c:pt>
                <c:pt idx="285">
                  <c:v>O10285</c:v>
                </c:pt>
                <c:pt idx="286">
                  <c:v>O10286</c:v>
                </c:pt>
                <c:pt idx="287">
                  <c:v>O10287</c:v>
                </c:pt>
                <c:pt idx="288">
                  <c:v>O10288</c:v>
                </c:pt>
                <c:pt idx="289">
                  <c:v>O10289</c:v>
                </c:pt>
                <c:pt idx="290">
                  <c:v>O10290</c:v>
                </c:pt>
                <c:pt idx="291">
                  <c:v>O10291</c:v>
                </c:pt>
                <c:pt idx="292">
                  <c:v>O10292</c:v>
                </c:pt>
                <c:pt idx="293">
                  <c:v>O10293</c:v>
                </c:pt>
                <c:pt idx="294">
                  <c:v>O10294</c:v>
                </c:pt>
                <c:pt idx="295">
                  <c:v>O10295</c:v>
                </c:pt>
                <c:pt idx="296">
                  <c:v>O10296</c:v>
                </c:pt>
                <c:pt idx="297">
                  <c:v>O10297</c:v>
                </c:pt>
                <c:pt idx="298">
                  <c:v>O10298</c:v>
                </c:pt>
                <c:pt idx="299">
                  <c:v>O10299</c:v>
                </c:pt>
                <c:pt idx="300">
                  <c:v>O10300</c:v>
                </c:pt>
                <c:pt idx="301">
                  <c:v>O10301</c:v>
                </c:pt>
                <c:pt idx="302">
                  <c:v>O10302</c:v>
                </c:pt>
                <c:pt idx="303">
                  <c:v>O10303</c:v>
                </c:pt>
                <c:pt idx="304">
                  <c:v>O10304</c:v>
                </c:pt>
                <c:pt idx="305">
                  <c:v>O10305</c:v>
                </c:pt>
                <c:pt idx="306">
                  <c:v>O10306</c:v>
                </c:pt>
                <c:pt idx="307">
                  <c:v>O10307</c:v>
                </c:pt>
                <c:pt idx="308">
                  <c:v>O10308</c:v>
                </c:pt>
                <c:pt idx="309">
                  <c:v>O10309</c:v>
                </c:pt>
                <c:pt idx="310">
                  <c:v>O10310</c:v>
                </c:pt>
                <c:pt idx="311">
                  <c:v>O10311</c:v>
                </c:pt>
                <c:pt idx="312">
                  <c:v>O10312</c:v>
                </c:pt>
                <c:pt idx="313">
                  <c:v>O10313</c:v>
                </c:pt>
                <c:pt idx="314">
                  <c:v>O10314</c:v>
                </c:pt>
                <c:pt idx="315">
                  <c:v>O10315</c:v>
                </c:pt>
                <c:pt idx="316">
                  <c:v>O10316</c:v>
                </c:pt>
                <c:pt idx="317">
                  <c:v>O10317</c:v>
                </c:pt>
                <c:pt idx="318">
                  <c:v>O10318</c:v>
                </c:pt>
                <c:pt idx="319">
                  <c:v>O10319</c:v>
                </c:pt>
                <c:pt idx="320">
                  <c:v>O10320</c:v>
                </c:pt>
                <c:pt idx="321">
                  <c:v>O10321</c:v>
                </c:pt>
                <c:pt idx="322">
                  <c:v>O10322</c:v>
                </c:pt>
                <c:pt idx="323">
                  <c:v>O10323</c:v>
                </c:pt>
                <c:pt idx="324">
                  <c:v>O10324</c:v>
                </c:pt>
                <c:pt idx="325">
                  <c:v>O10325</c:v>
                </c:pt>
                <c:pt idx="326">
                  <c:v>O10326</c:v>
                </c:pt>
                <c:pt idx="327">
                  <c:v>O10327</c:v>
                </c:pt>
                <c:pt idx="328">
                  <c:v>O10328</c:v>
                </c:pt>
                <c:pt idx="329">
                  <c:v>O10329</c:v>
                </c:pt>
                <c:pt idx="330">
                  <c:v>O10330</c:v>
                </c:pt>
                <c:pt idx="331">
                  <c:v>O10331</c:v>
                </c:pt>
                <c:pt idx="332">
                  <c:v>O10332</c:v>
                </c:pt>
                <c:pt idx="333">
                  <c:v>O10333</c:v>
                </c:pt>
                <c:pt idx="334">
                  <c:v>O10334</c:v>
                </c:pt>
                <c:pt idx="335">
                  <c:v>O10335</c:v>
                </c:pt>
                <c:pt idx="336">
                  <c:v>O10336</c:v>
                </c:pt>
                <c:pt idx="337">
                  <c:v>O10337</c:v>
                </c:pt>
                <c:pt idx="338">
                  <c:v>O10338</c:v>
                </c:pt>
                <c:pt idx="339">
                  <c:v>O10339</c:v>
                </c:pt>
                <c:pt idx="340">
                  <c:v>O10340</c:v>
                </c:pt>
                <c:pt idx="341">
                  <c:v>O10341</c:v>
                </c:pt>
                <c:pt idx="342">
                  <c:v>O10342</c:v>
                </c:pt>
                <c:pt idx="343">
                  <c:v>O10343</c:v>
                </c:pt>
                <c:pt idx="344">
                  <c:v>O10344</c:v>
                </c:pt>
                <c:pt idx="345">
                  <c:v>O10345</c:v>
                </c:pt>
                <c:pt idx="346">
                  <c:v>O10346</c:v>
                </c:pt>
                <c:pt idx="347">
                  <c:v>O10347</c:v>
                </c:pt>
                <c:pt idx="348">
                  <c:v>O10348</c:v>
                </c:pt>
                <c:pt idx="349">
                  <c:v>O10349</c:v>
                </c:pt>
                <c:pt idx="350">
                  <c:v>O10350</c:v>
                </c:pt>
                <c:pt idx="351">
                  <c:v>O10351</c:v>
                </c:pt>
                <c:pt idx="352">
                  <c:v>O10352</c:v>
                </c:pt>
                <c:pt idx="353">
                  <c:v>O10353</c:v>
                </c:pt>
                <c:pt idx="354">
                  <c:v>O10354</c:v>
                </c:pt>
                <c:pt idx="355">
                  <c:v>O10355</c:v>
                </c:pt>
                <c:pt idx="356">
                  <c:v>O10356</c:v>
                </c:pt>
                <c:pt idx="357">
                  <c:v>O10357</c:v>
                </c:pt>
                <c:pt idx="358">
                  <c:v>O10358</c:v>
                </c:pt>
                <c:pt idx="359">
                  <c:v>O10359</c:v>
                </c:pt>
                <c:pt idx="360">
                  <c:v>O10360</c:v>
                </c:pt>
                <c:pt idx="361">
                  <c:v>O10361</c:v>
                </c:pt>
                <c:pt idx="362">
                  <c:v>O10362</c:v>
                </c:pt>
                <c:pt idx="363">
                  <c:v>O10363</c:v>
                </c:pt>
                <c:pt idx="364">
                  <c:v>O10364</c:v>
                </c:pt>
                <c:pt idx="365">
                  <c:v>O10365</c:v>
                </c:pt>
                <c:pt idx="366">
                  <c:v>O10366</c:v>
                </c:pt>
                <c:pt idx="367">
                  <c:v>O10367</c:v>
                </c:pt>
                <c:pt idx="368">
                  <c:v>O10368</c:v>
                </c:pt>
                <c:pt idx="369">
                  <c:v>O10369</c:v>
                </c:pt>
                <c:pt idx="370">
                  <c:v>O10370</c:v>
                </c:pt>
                <c:pt idx="371">
                  <c:v>O10371</c:v>
                </c:pt>
                <c:pt idx="372">
                  <c:v>O10372</c:v>
                </c:pt>
                <c:pt idx="373">
                  <c:v>O10373</c:v>
                </c:pt>
                <c:pt idx="374">
                  <c:v>O10374</c:v>
                </c:pt>
                <c:pt idx="375">
                  <c:v>O10375</c:v>
                </c:pt>
                <c:pt idx="376">
                  <c:v>O10376</c:v>
                </c:pt>
                <c:pt idx="377">
                  <c:v>O10377</c:v>
                </c:pt>
                <c:pt idx="378">
                  <c:v>O10378</c:v>
                </c:pt>
                <c:pt idx="379">
                  <c:v>O10379</c:v>
                </c:pt>
                <c:pt idx="380">
                  <c:v>O10380</c:v>
                </c:pt>
                <c:pt idx="381">
                  <c:v>O10381</c:v>
                </c:pt>
                <c:pt idx="382">
                  <c:v>O10382</c:v>
                </c:pt>
                <c:pt idx="383">
                  <c:v>O10383</c:v>
                </c:pt>
                <c:pt idx="384">
                  <c:v>O10384</c:v>
                </c:pt>
                <c:pt idx="385">
                  <c:v>O10385</c:v>
                </c:pt>
                <c:pt idx="386">
                  <c:v>O10386</c:v>
                </c:pt>
                <c:pt idx="387">
                  <c:v>O10387</c:v>
                </c:pt>
                <c:pt idx="388">
                  <c:v>O10388</c:v>
                </c:pt>
                <c:pt idx="389">
                  <c:v>O10389</c:v>
                </c:pt>
                <c:pt idx="390">
                  <c:v>O10390</c:v>
                </c:pt>
                <c:pt idx="391">
                  <c:v>O10391</c:v>
                </c:pt>
                <c:pt idx="392">
                  <c:v>O10392</c:v>
                </c:pt>
                <c:pt idx="393">
                  <c:v>O10393</c:v>
                </c:pt>
                <c:pt idx="394">
                  <c:v>O10394</c:v>
                </c:pt>
                <c:pt idx="395">
                  <c:v>O10395</c:v>
                </c:pt>
                <c:pt idx="396">
                  <c:v>O10396</c:v>
                </c:pt>
                <c:pt idx="397">
                  <c:v>O10397</c:v>
                </c:pt>
                <c:pt idx="398">
                  <c:v>O10398</c:v>
                </c:pt>
                <c:pt idx="399">
                  <c:v>O10399</c:v>
                </c:pt>
                <c:pt idx="400">
                  <c:v>O10400</c:v>
                </c:pt>
                <c:pt idx="401">
                  <c:v>O10401</c:v>
                </c:pt>
                <c:pt idx="402">
                  <c:v>O10402</c:v>
                </c:pt>
                <c:pt idx="403">
                  <c:v>O10403</c:v>
                </c:pt>
                <c:pt idx="404">
                  <c:v>O10404</c:v>
                </c:pt>
                <c:pt idx="405">
                  <c:v>O10405</c:v>
                </c:pt>
                <c:pt idx="406">
                  <c:v>O10406</c:v>
                </c:pt>
                <c:pt idx="407">
                  <c:v>O10407</c:v>
                </c:pt>
                <c:pt idx="408">
                  <c:v>O10408</c:v>
                </c:pt>
                <c:pt idx="409">
                  <c:v>O10409</c:v>
                </c:pt>
                <c:pt idx="410">
                  <c:v>O10410</c:v>
                </c:pt>
                <c:pt idx="411">
                  <c:v>O10411</c:v>
                </c:pt>
                <c:pt idx="412">
                  <c:v>O10412</c:v>
                </c:pt>
                <c:pt idx="413">
                  <c:v>O10413</c:v>
                </c:pt>
                <c:pt idx="414">
                  <c:v>O10414</c:v>
                </c:pt>
                <c:pt idx="415">
                  <c:v>O10415</c:v>
                </c:pt>
                <c:pt idx="416">
                  <c:v>O10416</c:v>
                </c:pt>
                <c:pt idx="417">
                  <c:v>O10417</c:v>
                </c:pt>
                <c:pt idx="418">
                  <c:v>O10418</c:v>
                </c:pt>
                <c:pt idx="419">
                  <c:v>O10419</c:v>
                </c:pt>
                <c:pt idx="420">
                  <c:v>O10420</c:v>
                </c:pt>
                <c:pt idx="421">
                  <c:v>O10421</c:v>
                </c:pt>
                <c:pt idx="422">
                  <c:v>O10422</c:v>
                </c:pt>
                <c:pt idx="423">
                  <c:v>O10423</c:v>
                </c:pt>
                <c:pt idx="424">
                  <c:v>O10424</c:v>
                </c:pt>
                <c:pt idx="425">
                  <c:v>O10425</c:v>
                </c:pt>
                <c:pt idx="426">
                  <c:v>O10426</c:v>
                </c:pt>
                <c:pt idx="427">
                  <c:v>O10427</c:v>
                </c:pt>
                <c:pt idx="428">
                  <c:v>O10428</c:v>
                </c:pt>
                <c:pt idx="429">
                  <c:v>O10429</c:v>
                </c:pt>
                <c:pt idx="430">
                  <c:v>O10430</c:v>
                </c:pt>
                <c:pt idx="431">
                  <c:v>O10431</c:v>
                </c:pt>
                <c:pt idx="432">
                  <c:v>O10432</c:v>
                </c:pt>
                <c:pt idx="433">
                  <c:v>O10433</c:v>
                </c:pt>
                <c:pt idx="434">
                  <c:v>O10434</c:v>
                </c:pt>
                <c:pt idx="435">
                  <c:v>O10435</c:v>
                </c:pt>
                <c:pt idx="436">
                  <c:v>O10436</c:v>
                </c:pt>
                <c:pt idx="437">
                  <c:v>O10437</c:v>
                </c:pt>
                <c:pt idx="438">
                  <c:v>O10438</c:v>
                </c:pt>
                <c:pt idx="439">
                  <c:v>O10439</c:v>
                </c:pt>
                <c:pt idx="440">
                  <c:v>O10440</c:v>
                </c:pt>
                <c:pt idx="441">
                  <c:v>O10441</c:v>
                </c:pt>
                <c:pt idx="442">
                  <c:v>O10442</c:v>
                </c:pt>
                <c:pt idx="443">
                  <c:v>O10443</c:v>
                </c:pt>
                <c:pt idx="444">
                  <c:v>O10444</c:v>
                </c:pt>
                <c:pt idx="445">
                  <c:v>O10445</c:v>
                </c:pt>
                <c:pt idx="446">
                  <c:v>O10446</c:v>
                </c:pt>
                <c:pt idx="447">
                  <c:v>O10447</c:v>
                </c:pt>
                <c:pt idx="448">
                  <c:v>O10448</c:v>
                </c:pt>
                <c:pt idx="449">
                  <c:v>O10449</c:v>
                </c:pt>
                <c:pt idx="450">
                  <c:v>O10450</c:v>
                </c:pt>
                <c:pt idx="451">
                  <c:v>O10451</c:v>
                </c:pt>
                <c:pt idx="452">
                  <c:v>O10452</c:v>
                </c:pt>
                <c:pt idx="453">
                  <c:v>O10453</c:v>
                </c:pt>
                <c:pt idx="454">
                  <c:v>O10454</c:v>
                </c:pt>
                <c:pt idx="455">
                  <c:v>O10455</c:v>
                </c:pt>
                <c:pt idx="456">
                  <c:v>O10456</c:v>
                </c:pt>
                <c:pt idx="457">
                  <c:v>O10457</c:v>
                </c:pt>
                <c:pt idx="458">
                  <c:v>O10458</c:v>
                </c:pt>
                <c:pt idx="459">
                  <c:v>O10459</c:v>
                </c:pt>
                <c:pt idx="460">
                  <c:v>O10460</c:v>
                </c:pt>
                <c:pt idx="461">
                  <c:v>O10461</c:v>
                </c:pt>
                <c:pt idx="462">
                  <c:v>O10462</c:v>
                </c:pt>
                <c:pt idx="463">
                  <c:v>O10463</c:v>
                </c:pt>
                <c:pt idx="464">
                  <c:v>O10464</c:v>
                </c:pt>
                <c:pt idx="465">
                  <c:v>O10465</c:v>
                </c:pt>
                <c:pt idx="466">
                  <c:v>O10466</c:v>
                </c:pt>
                <c:pt idx="467">
                  <c:v>O10467</c:v>
                </c:pt>
                <c:pt idx="468">
                  <c:v>O10468</c:v>
                </c:pt>
                <c:pt idx="469">
                  <c:v>O10469</c:v>
                </c:pt>
                <c:pt idx="470">
                  <c:v>O10470</c:v>
                </c:pt>
                <c:pt idx="471">
                  <c:v>O10471</c:v>
                </c:pt>
                <c:pt idx="472">
                  <c:v>O10472</c:v>
                </c:pt>
                <c:pt idx="473">
                  <c:v>O10473</c:v>
                </c:pt>
                <c:pt idx="474">
                  <c:v>O10474</c:v>
                </c:pt>
                <c:pt idx="475">
                  <c:v>O10475</c:v>
                </c:pt>
                <c:pt idx="476">
                  <c:v>O10476</c:v>
                </c:pt>
                <c:pt idx="477">
                  <c:v>O10477</c:v>
                </c:pt>
                <c:pt idx="478">
                  <c:v>O10478</c:v>
                </c:pt>
                <c:pt idx="479">
                  <c:v>O10479</c:v>
                </c:pt>
                <c:pt idx="480">
                  <c:v>O10480</c:v>
                </c:pt>
                <c:pt idx="481">
                  <c:v>O10481</c:v>
                </c:pt>
                <c:pt idx="482">
                  <c:v>O10482</c:v>
                </c:pt>
                <c:pt idx="483">
                  <c:v>O10483</c:v>
                </c:pt>
                <c:pt idx="484">
                  <c:v>O10484</c:v>
                </c:pt>
                <c:pt idx="485">
                  <c:v>O10485</c:v>
                </c:pt>
                <c:pt idx="486">
                  <c:v>O10486</c:v>
                </c:pt>
                <c:pt idx="487">
                  <c:v>O10487</c:v>
                </c:pt>
                <c:pt idx="488">
                  <c:v>O10488</c:v>
                </c:pt>
                <c:pt idx="489">
                  <c:v>O10489</c:v>
                </c:pt>
                <c:pt idx="490">
                  <c:v>O10490</c:v>
                </c:pt>
                <c:pt idx="491">
                  <c:v>O10491</c:v>
                </c:pt>
                <c:pt idx="492">
                  <c:v>O10492</c:v>
                </c:pt>
                <c:pt idx="493">
                  <c:v>O10493</c:v>
                </c:pt>
                <c:pt idx="494">
                  <c:v>O10494</c:v>
                </c:pt>
                <c:pt idx="495">
                  <c:v>O10495</c:v>
                </c:pt>
                <c:pt idx="496">
                  <c:v>O10496</c:v>
                </c:pt>
                <c:pt idx="497">
                  <c:v>O10497</c:v>
                </c:pt>
                <c:pt idx="498">
                  <c:v>O10498</c:v>
                </c:pt>
                <c:pt idx="499">
                  <c:v>O10499</c:v>
                </c:pt>
              </c:strCache>
            </c:strRef>
          </c:xVal>
          <c:yVal>
            <c:numRef>
              <c:f>'raw data'!$I$2:$I$501</c:f>
              <c:numCache>
                <c:formatCode>General</c:formatCode>
                <c:ptCount val="500"/>
                <c:pt idx="0">
                  <c:v>358.2</c:v>
                </c:pt>
                <c:pt idx="1">
                  <c:v>358.2</c:v>
                </c:pt>
                <c:pt idx="2">
                  <c:v>358.2</c:v>
                </c:pt>
                <c:pt idx="3">
                  <c:v>358.2</c:v>
                </c:pt>
                <c:pt idx="4">
                  <c:v>358.2</c:v>
                </c:pt>
                <c:pt idx="5">
                  <c:v>358.2</c:v>
                </c:pt>
                <c:pt idx="6">
                  <c:v>358.2</c:v>
                </c:pt>
                <c:pt idx="7">
                  <c:v>358.2</c:v>
                </c:pt>
                <c:pt idx="8">
                  <c:v>358.2</c:v>
                </c:pt>
                <c:pt idx="9">
                  <c:v>358.2</c:v>
                </c:pt>
                <c:pt idx="10">
                  <c:v>358.2</c:v>
                </c:pt>
                <c:pt idx="11">
                  <c:v>358.2</c:v>
                </c:pt>
                <c:pt idx="12">
                  <c:v>358.2</c:v>
                </c:pt>
                <c:pt idx="14">
                  <c:v>1696.6</c:v>
                </c:pt>
                <c:pt idx="15">
                  <c:v>1497</c:v>
                </c:pt>
                <c:pt idx="16">
                  <c:v>2998</c:v>
                </c:pt>
                <c:pt idx="17">
                  <c:v>716.4</c:v>
                </c:pt>
                <c:pt idx="18">
                  <c:v>507.45</c:v>
                </c:pt>
                <c:pt idx="19">
                  <c:v>318.39999999999998</c:v>
                </c:pt>
                <c:pt idx="20">
                  <c:v>0</c:v>
                </c:pt>
                <c:pt idx="23">
                  <c:v>1499</c:v>
                </c:pt>
                <c:pt idx="24">
                  <c:v>1349.1</c:v>
                </c:pt>
                <c:pt idx="26">
                  <c:v>179.1</c:v>
                </c:pt>
                <c:pt idx="27">
                  <c:v>899.1</c:v>
                </c:pt>
                <c:pt idx="29">
                  <c:v>499</c:v>
                </c:pt>
                <c:pt idx="30">
                  <c:v>897</c:v>
                </c:pt>
                <c:pt idx="31">
                  <c:v>897</c:v>
                </c:pt>
                <c:pt idx="32">
                  <c:v>3398.3</c:v>
                </c:pt>
                <c:pt idx="33">
                  <c:v>3198.4</c:v>
                </c:pt>
                <c:pt idx="34">
                  <c:v>4497</c:v>
                </c:pt>
                <c:pt idx="35">
                  <c:v>0</c:v>
                </c:pt>
                <c:pt idx="36">
                  <c:v>1798.2</c:v>
                </c:pt>
                <c:pt idx="38">
                  <c:v>1497</c:v>
                </c:pt>
                <c:pt idx="39">
                  <c:v>1799.1</c:v>
                </c:pt>
                <c:pt idx="40">
                  <c:v>1698.3</c:v>
                </c:pt>
                <c:pt idx="41">
                  <c:v>998</c:v>
                </c:pt>
                <c:pt idx="42">
                  <c:v>998</c:v>
                </c:pt>
                <c:pt idx="43">
                  <c:v>199</c:v>
                </c:pt>
                <c:pt idx="44">
                  <c:v>1424.05</c:v>
                </c:pt>
                <c:pt idx="45">
                  <c:v>299</c:v>
                </c:pt>
                <c:pt idx="46">
                  <c:v>995</c:v>
                </c:pt>
                <c:pt idx="47">
                  <c:v>2997</c:v>
                </c:pt>
                <c:pt idx="48">
                  <c:v>1349.1</c:v>
                </c:pt>
                <c:pt idx="49">
                  <c:v>999</c:v>
                </c:pt>
                <c:pt idx="50">
                  <c:v>4047.3</c:v>
                </c:pt>
                <c:pt idx="51">
                  <c:v>1799.1</c:v>
                </c:pt>
                <c:pt idx="52">
                  <c:v>949.05</c:v>
                </c:pt>
                <c:pt idx="54">
                  <c:v>1499</c:v>
                </c:pt>
                <c:pt idx="55">
                  <c:v>3822.45</c:v>
                </c:pt>
                <c:pt idx="57">
                  <c:v>798.40000000000009</c:v>
                </c:pt>
                <c:pt idx="59">
                  <c:v>999</c:v>
                </c:pt>
                <c:pt idx="60">
                  <c:v>1796.4</c:v>
                </c:pt>
                <c:pt idx="62">
                  <c:v>7996</c:v>
                </c:pt>
                <c:pt idx="63">
                  <c:v>1699.15</c:v>
                </c:pt>
                <c:pt idx="64">
                  <c:v>1796.4</c:v>
                </c:pt>
                <c:pt idx="65">
                  <c:v>4245.75</c:v>
                </c:pt>
                <c:pt idx="66">
                  <c:v>4497</c:v>
                </c:pt>
                <c:pt idx="67">
                  <c:v>1495</c:v>
                </c:pt>
                <c:pt idx="68">
                  <c:v>3196.8</c:v>
                </c:pt>
                <c:pt idx="69">
                  <c:v>477.6</c:v>
                </c:pt>
                <c:pt idx="70">
                  <c:v>5097.45</c:v>
                </c:pt>
                <c:pt idx="71">
                  <c:v>998</c:v>
                </c:pt>
                <c:pt idx="72">
                  <c:v>499</c:v>
                </c:pt>
                <c:pt idx="73">
                  <c:v>4497</c:v>
                </c:pt>
                <c:pt idx="74">
                  <c:v>398</c:v>
                </c:pt>
                <c:pt idx="75">
                  <c:v>5096.5999999999995</c:v>
                </c:pt>
                <c:pt idx="77">
                  <c:v>1196</c:v>
                </c:pt>
                <c:pt idx="78">
                  <c:v>1799.1</c:v>
                </c:pt>
                <c:pt idx="79">
                  <c:v>399.2</c:v>
                </c:pt>
                <c:pt idx="80">
                  <c:v>449.1</c:v>
                </c:pt>
                <c:pt idx="81">
                  <c:v>897</c:v>
                </c:pt>
                <c:pt idx="83">
                  <c:v>9995</c:v>
                </c:pt>
                <c:pt idx="84">
                  <c:v>2998</c:v>
                </c:pt>
                <c:pt idx="85">
                  <c:v>1495</c:v>
                </c:pt>
                <c:pt idx="86">
                  <c:v>5096.5999999999995</c:v>
                </c:pt>
                <c:pt idx="87">
                  <c:v>1798.2</c:v>
                </c:pt>
                <c:pt idx="88">
                  <c:v>1696.6</c:v>
                </c:pt>
                <c:pt idx="89">
                  <c:v>2548.3000000000002</c:v>
                </c:pt>
                <c:pt idx="90">
                  <c:v>189.05</c:v>
                </c:pt>
                <c:pt idx="91">
                  <c:v>4497</c:v>
                </c:pt>
                <c:pt idx="92">
                  <c:v>1598.4</c:v>
                </c:pt>
                <c:pt idx="93">
                  <c:v>5997</c:v>
                </c:pt>
                <c:pt idx="94">
                  <c:v>1497</c:v>
                </c:pt>
                <c:pt idx="95">
                  <c:v>897</c:v>
                </c:pt>
                <c:pt idx="96">
                  <c:v>1598.4</c:v>
                </c:pt>
                <c:pt idx="97">
                  <c:v>998</c:v>
                </c:pt>
                <c:pt idx="98">
                  <c:v>4497</c:v>
                </c:pt>
                <c:pt idx="99">
                  <c:v>3998</c:v>
                </c:pt>
                <c:pt idx="101">
                  <c:v>0</c:v>
                </c:pt>
                <c:pt idx="103">
                  <c:v>199</c:v>
                </c:pt>
                <c:pt idx="104">
                  <c:v>5697.15</c:v>
                </c:pt>
                <c:pt idx="105">
                  <c:v>1596.8</c:v>
                </c:pt>
                <c:pt idx="107">
                  <c:v>478.4</c:v>
                </c:pt>
                <c:pt idx="109">
                  <c:v>956.80000000000007</c:v>
                </c:pt>
                <c:pt idx="110">
                  <c:v>8995.5</c:v>
                </c:pt>
                <c:pt idx="111">
                  <c:v>1016.6</c:v>
                </c:pt>
                <c:pt idx="113">
                  <c:v>399.2</c:v>
                </c:pt>
                <c:pt idx="114">
                  <c:v>2398.4</c:v>
                </c:pt>
                <c:pt idx="115">
                  <c:v>999</c:v>
                </c:pt>
                <c:pt idx="118">
                  <c:v>2548.3000000000002</c:v>
                </c:pt>
                <c:pt idx="119">
                  <c:v>1347.3</c:v>
                </c:pt>
                <c:pt idx="120">
                  <c:v>1497</c:v>
                </c:pt>
                <c:pt idx="121">
                  <c:v>3798.1</c:v>
                </c:pt>
                <c:pt idx="122">
                  <c:v>1196</c:v>
                </c:pt>
                <c:pt idx="123">
                  <c:v>3198.4</c:v>
                </c:pt>
                <c:pt idx="124">
                  <c:v>5096.5999999999995</c:v>
                </c:pt>
                <c:pt idx="125">
                  <c:v>1999</c:v>
                </c:pt>
                <c:pt idx="127">
                  <c:v>1497</c:v>
                </c:pt>
                <c:pt idx="128">
                  <c:v>598</c:v>
                </c:pt>
                <c:pt idx="129">
                  <c:v>1799.1</c:v>
                </c:pt>
                <c:pt idx="131">
                  <c:v>169.15</c:v>
                </c:pt>
                <c:pt idx="132">
                  <c:v>799.2</c:v>
                </c:pt>
                <c:pt idx="134">
                  <c:v>798.40000000000009</c:v>
                </c:pt>
                <c:pt idx="135">
                  <c:v>2697.3</c:v>
                </c:pt>
                <c:pt idx="136">
                  <c:v>995</c:v>
                </c:pt>
                <c:pt idx="137">
                  <c:v>338.3</c:v>
                </c:pt>
                <c:pt idx="138">
                  <c:v>897</c:v>
                </c:pt>
                <c:pt idx="139">
                  <c:v>799.2</c:v>
                </c:pt>
                <c:pt idx="140">
                  <c:v>807.30000000000007</c:v>
                </c:pt>
                <c:pt idx="143">
                  <c:v>5096.5999999999995</c:v>
                </c:pt>
                <c:pt idx="144">
                  <c:v>2548.3000000000002</c:v>
                </c:pt>
                <c:pt idx="145">
                  <c:v>999</c:v>
                </c:pt>
                <c:pt idx="146">
                  <c:v>5096.5999999999995</c:v>
                </c:pt>
                <c:pt idx="148">
                  <c:v>269.10000000000002</c:v>
                </c:pt>
                <c:pt idx="149">
                  <c:v>999</c:v>
                </c:pt>
                <c:pt idx="150">
                  <c:v>1016.6</c:v>
                </c:pt>
                <c:pt idx="151">
                  <c:v>949.05</c:v>
                </c:pt>
                <c:pt idx="152">
                  <c:v>1420.25</c:v>
                </c:pt>
                <c:pt idx="153">
                  <c:v>358.2</c:v>
                </c:pt>
                <c:pt idx="154">
                  <c:v>299</c:v>
                </c:pt>
                <c:pt idx="155">
                  <c:v>5996</c:v>
                </c:pt>
                <c:pt idx="156">
                  <c:v>398</c:v>
                </c:pt>
                <c:pt idx="157">
                  <c:v>598</c:v>
                </c:pt>
                <c:pt idx="158">
                  <c:v>999</c:v>
                </c:pt>
                <c:pt idx="159">
                  <c:v>0</c:v>
                </c:pt>
                <c:pt idx="160">
                  <c:v>2847.15</c:v>
                </c:pt>
                <c:pt idx="161">
                  <c:v>998</c:v>
                </c:pt>
                <c:pt idx="163">
                  <c:v>3396.6</c:v>
                </c:pt>
                <c:pt idx="164">
                  <c:v>597</c:v>
                </c:pt>
                <c:pt idx="165">
                  <c:v>949.05</c:v>
                </c:pt>
                <c:pt idx="166">
                  <c:v>898.2</c:v>
                </c:pt>
                <c:pt idx="167">
                  <c:v>6745.5</c:v>
                </c:pt>
                <c:pt idx="168">
                  <c:v>676.6</c:v>
                </c:pt>
                <c:pt idx="169">
                  <c:v>1422.15</c:v>
                </c:pt>
                <c:pt idx="170">
                  <c:v>1499</c:v>
                </c:pt>
                <c:pt idx="171">
                  <c:v>3998</c:v>
                </c:pt>
                <c:pt idx="172">
                  <c:v>4797.6000000000004</c:v>
                </c:pt>
                <c:pt idx="173">
                  <c:v>636.80000000000007</c:v>
                </c:pt>
                <c:pt idx="174">
                  <c:v>897</c:v>
                </c:pt>
                <c:pt idx="177">
                  <c:v>449.1</c:v>
                </c:pt>
                <c:pt idx="178">
                  <c:v>2398.4</c:v>
                </c:pt>
                <c:pt idx="180">
                  <c:v>1499</c:v>
                </c:pt>
                <c:pt idx="181">
                  <c:v>4796.8</c:v>
                </c:pt>
                <c:pt idx="182">
                  <c:v>798.40000000000009</c:v>
                </c:pt>
                <c:pt idx="183">
                  <c:v>998</c:v>
                </c:pt>
                <c:pt idx="184">
                  <c:v>499</c:v>
                </c:pt>
                <c:pt idx="186">
                  <c:v>1999</c:v>
                </c:pt>
                <c:pt idx="187">
                  <c:v>499</c:v>
                </c:pt>
                <c:pt idx="189">
                  <c:v>424.15</c:v>
                </c:pt>
                <c:pt idx="190">
                  <c:v>2547.4499999999998</c:v>
                </c:pt>
                <c:pt idx="191">
                  <c:v>1499</c:v>
                </c:pt>
                <c:pt idx="192">
                  <c:v>474.05</c:v>
                </c:pt>
                <c:pt idx="193">
                  <c:v>159.19999999999999</c:v>
                </c:pt>
                <c:pt idx="194">
                  <c:v>3597.6</c:v>
                </c:pt>
                <c:pt idx="195">
                  <c:v>4497</c:v>
                </c:pt>
                <c:pt idx="196">
                  <c:v>998</c:v>
                </c:pt>
                <c:pt idx="197">
                  <c:v>3798.1</c:v>
                </c:pt>
                <c:pt idx="198">
                  <c:v>807.30000000000007</c:v>
                </c:pt>
                <c:pt idx="199">
                  <c:v>0</c:v>
                </c:pt>
                <c:pt idx="200">
                  <c:v>998</c:v>
                </c:pt>
                <c:pt idx="201">
                  <c:v>5996</c:v>
                </c:pt>
                <c:pt idx="202">
                  <c:v>597</c:v>
                </c:pt>
                <c:pt idx="203">
                  <c:v>2398.4</c:v>
                </c:pt>
                <c:pt idx="204">
                  <c:v>9995</c:v>
                </c:pt>
                <c:pt idx="205">
                  <c:v>796</c:v>
                </c:pt>
                <c:pt idx="207">
                  <c:v>2397.6</c:v>
                </c:pt>
                <c:pt idx="208">
                  <c:v>4047.3</c:v>
                </c:pt>
                <c:pt idx="209">
                  <c:v>898.2</c:v>
                </c:pt>
                <c:pt idx="211">
                  <c:v>1598.4</c:v>
                </c:pt>
                <c:pt idx="212">
                  <c:v>1347.3</c:v>
                </c:pt>
                <c:pt idx="213">
                  <c:v>598</c:v>
                </c:pt>
                <c:pt idx="214">
                  <c:v>1796.4</c:v>
                </c:pt>
                <c:pt idx="215">
                  <c:v>537.30000000000007</c:v>
                </c:pt>
                <c:pt idx="216">
                  <c:v>159.19999999999999</c:v>
                </c:pt>
                <c:pt idx="217">
                  <c:v>897</c:v>
                </c:pt>
                <c:pt idx="219">
                  <c:v>2997</c:v>
                </c:pt>
                <c:pt idx="220">
                  <c:v>1272.45</c:v>
                </c:pt>
                <c:pt idx="221">
                  <c:v>179.1</c:v>
                </c:pt>
                <c:pt idx="223">
                  <c:v>239.2</c:v>
                </c:pt>
                <c:pt idx="224">
                  <c:v>1599.2</c:v>
                </c:pt>
                <c:pt idx="225">
                  <c:v>2398.4</c:v>
                </c:pt>
                <c:pt idx="226">
                  <c:v>3398.3</c:v>
                </c:pt>
                <c:pt idx="228">
                  <c:v>398</c:v>
                </c:pt>
                <c:pt idx="229">
                  <c:v>478.4</c:v>
                </c:pt>
                <c:pt idx="230">
                  <c:v>1422.15</c:v>
                </c:pt>
                <c:pt idx="231">
                  <c:v>1699.15</c:v>
                </c:pt>
                <c:pt idx="233">
                  <c:v>2397.6</c:v>
                </c:pt>
                <c:pt idx="234">
                  <c:v>796</c:v>
                </c:pt>
                <c:pt idx="235">
                  <c:v>179.1</c:v>
                </c:pt>
                <c:pt idx="236">
                  <c:v>998</c:v>
                </c:pt>
                <c:pt idx="237">
                  <c:v>2998</c:v>
                </c:pt>
                <c:pt idx="239">
                  <c:v>0</c:v>
                </c:pt>
                <c:pt idx="240">
                  <c:v>338.3</c:v>
                </c:pt>
                <c:pt idx="242">
                  <c:v>378.1</c:v>
                </c:pt>
                <c:pt idx="243">
                  <c:v>1898.1</c:v>
                </c:pt>
                <c:pt idx="244">
                  <c:v>254.15</c:v>
                </c:pt>
                <c:pt idx="246">
                  <c:v>0</c:v>
                </c:pt>
                <c:pt idx="247">
                  <c:v>2547.4499999999998</c:v>
                </c:pt>
                <c:pt idx="249">
                  <c:v>239.2</c:v>
                </c:pt>
                <c:pt idx="250">
                  <c:v>807.30000000000007</c:v>
                </c:pt>
                <c:pt idx="252">
                  <c:v>849.15</c:v>
                </c:pt>
                <c:pt idx="253">
                  <c:v>1996</c:v>
                </c:pt>
                <c:pt idx="255">
                  <c:v>2547.4499999999998</c:v>
                </c:pt>
                <c:pt idx="258">
                  <c:v>199</c:v>
                </c:pt>
                <c:pt idx="259">
                  <c:v>949.05</c:v>
                </c:pt>
                <c:pt idx="260">
                  <c:v>399.2</c:v>
                </c:pt>
                <c:pt idx="261">
                  <c:v>3998</c:v>
                </c:pt>
                <c:pt idx="262">
                  <c:v>378.1</c:v>
                </c:pt>
                <c:pt idx="264">
                  <c:v>1799.1</c:v>
                </c:pt>
                <c:pt idx="265">
                  <c:v>2698.2</c:v>
                </c:pt>
                <c:pt idx="266">
                  <c:v>6396.8</c:v>
                </c:pt>
                <c:pt idx="269">
                  <c:v>3796.2</c:v>
                </c:pt>
                <c:pt idx="270">
                  <c:v>899.1</c:v>
                </c:pt>
                <c:pt idx="271">
                  <c:v>796</c:v>
                </c:pt>
                <c:pt idx="272">
                  <c:v>1497</c:v>
                </c:pt>
                <c:pt idx="273">
                  <c:v>597</c:v>
                </c:pt>
                <c:pt idx="274">
                  <c:v>508.3</c:v>
                </c:pt>
                <c:pt idx="276">
                  <c:v>3398.3</c:v>
                </c:pt>
                <c:pt idx="277">
                  <c:v>2998</c:v>
                </c:pt>
                <c:pt idx="280">
                  <c:v>378.1</c:v>
                </c:pt>
                <c:pt idx="281">
                  <c:v>3597.6</c:v>
                </c:pt>
                <c:pt idx="282">
                  <c:v>1499</c:v>
                </c:pt>
                <c:pt idx="283">
                  <c:v>1349.1</c:v>
                </c:pt>
                <c:pt idx="284">
                  <c:v>796</c:v>
                </c:pt>
                <c:pt idx="286">
                  <c:v>0</c:v>
                </c:pt>
                <c:pt idx="287">
                  <c:v>999</c:v>
                </c:pt>
                <c:pt idx="288">
                  <c:v>999</c:v>
                </c:pt>
                <c:pt idx="290">
                  <c:v>4047.3</c:v>
                </c:pt>
                <c:pt idx="292">
                  <c:v>597</c:v>
                </c:pt>
                <c:pt idx="293">
                  <c:v>318.39999999999998</c:v>
                </c:pt>
                <c:pt idx="294">
                  <c:v>378.1</c:v>
                </c:pt>
                <c:pt idx="295">
                  <c:v>717.6</c:v>
                </c:pt>
                <c:pt idx="296">
                  <c:v>799.2</c:v>
                </c:pt>
                <c:pt idx="297">
                  <c:v>7996</c:v>
                </c:pt>
                <c:pt idx="298">
                  <c:v>5996</c:v>
                </c:pt>
                <c:pt idx="299">
                  <c:v>998</c:v>
                </c:pt>
                <c:pt idx="301">
                  <c:v>5996</c:v>
                </c:pt>
                <c:pt idx="302">
                  <c:v>1272.45</c:v>
                </c:pt>
                <c:pt idx="303">
                  <c:v>239.2</c:v>
                </c:pt>
                <c:pt idx="304">
                  <c:v>398</c:v>
                </c:pt>
                <c:pt idx="305">
                  <c:v>538.20000000000005</c:v>
                </c:pt>
                <c:pt idx="306">
                  <c:v>284.05</c:v>
                </c:pt>
                <c:pt idx="307">
                  <c:v>1699.15</c:v>
                </c:pt>
                <c:pt idx="309">
                  <c:v>1599.2</c:v>
                </c:pt>
                <c:pt idx="310">
                  <c:v>2997</c:v>
                </c:pt>
                <c:pt idx="311">
                  <c:v>1996</c:v>
                </c:pt>
                <c:pt idx="312">
                  <c:v>796</c:v>
                </c:pt>
                <c:pt idx="313">
                  <c:v>1899.05</c:v>
                </c:pt>
                <c:pt idx="314">
                  <c:v>1996</c:v>
                </c:pt>
                <c:pt idx="315">
                  <c:v>0</c:v>
                </c:pt>
                <c:pt idx="316">
                  <c:v>0</c:v>
                </c:pt>
                <c:pt idx="317">
                  <c:v>4272.1499999999996</c:v>
                </c:pt>
                <c:pt idx="318">
                  <c:v>3598.2</c:v>
                </c:pt>
                <c:pt idx="319">
                  <c:v>1798.2</c:v>
                </c:pt>
                <c:pt idx="320">
                  <c:v>5097.45</c:v>
                </c:pt>
                <c:pt idx="321">
                  <c:v>1274.1500000000001</c:v>
                </c:pt>
                <c:pt idx="322">
                  <c:v>499</c:v>
                </c:pt>
                <c:pt idx="323">
                  <c:v>898.2</c:v>
                </c:pt>
                <c:pt idx="324">
                  <c:v>5696.2</c:v>
                </c:pt>
                <c:pt idx="325">
                  <c:v>807.30000000000007</c:v>
                </c:pt>
                <c:pt idx="326">
                  <c:v>999</c:v>
                </c:pt>
                <c:pt idx="328">
                  <c:v>169.15</c:v>
                </c:pt>
                <c:pt idx="329">
                  <c:v>424.15</c:v>
                </c:pt>
                <c:pt idx="330">
                  <c:v>796</c:v>
                </c:pt>
                <c:pt idx="332">
                  <c:v>1699.15</c:v>
                </c:pt>
                <c:pt idx="333">
                  <c:v>477.6</c:v>
                </c:pt>
                <c:pt idx="335">
                  <c:v>3597.6</c:v>
                </c:pt>
                <c:pt idx="336">
                  <c:v>299</c:v>
                </c:pt>
                <c:pt idx="337">
                  <c:v>499</c:v>
                </c:pt>
                <c:pt idx="339">
                  <c:v>179.1</c:v>
                </c:pt>
                <c:pt idx="340">
                  <c:v>1197.5999999999999</c:v>
                </c:pt>
                <c:pt idx="341">
                  <c:v>1136.2</c:v>
                </c:pt>
                <c:pt idx="342">
                  <c:v>3822.45</c:v>
                </c:pt>
                <c:pt idx="343">
                  <c:v>7596.2</c:v>
                </c:pt>
                <c:pt idx="344">
                  <c:v>848.3</c:v>
                </c:pt>
                <c:pt idx="345">
                  <c:v>5397.3</c:v>
                </c:pt>
                <c:pt idx="347">
                  <c:v>538.20000000000005</c:v>
                </c:pt>
                <c:pt idx="348">
                  <c:v>398</c:v>
                </c:pt>
                <c:pt idx="349">
                  <c:v>269.10000000000002</c:v>
                </c:pt>
                <c:pt idx="350">
                  <c:v>598</c:v>
                </c:pt>
                <c:pt idx="352">
                  <c:v>299</c:v>
                </c:pt>
                <c:pt idx="353">
                  <c:v>239.2</c:v>
                </c:pt>
                <c:pt idx="354">
                  <c:v>948.09999999999991</c:v>
                </c:pt>
                <c:pt idx="355">
                  <c:v>676.6</c:v>
                </c:pt>
                <c:pt idx="356">
                  <c:v>1272.45</c:v>
                </c:pt>
                <c:pt idx="357">
                  <c:v>1497</c:v>
                </c:pt>
                <c:pt idx="359">
                  <c:v>1272.45</c:v>
                </c:pt>
                <c:pt idx="360">
                  <c:v>1998</c:v>
                </c:pt>
                <c:pt idx="361">
                  <c:v>3196.8</c:v>
                </c:pt>
                <c:pt idx="362">
                  <c:v>5697.15</c:v>
                </c:pt>
                <c:pt idx="364">
                  <c:v>1999</c:v>
                </c:pt>
                <c:pt idx="365">
                  <c:v>0</c:v>
                </c:pt>
                <c:pt idx="366">
                  <c:v>2698.2</c:v>
                </c:pt>
                <c:pt idx="367">
                  <c:v>179.1</c:v>
                </c:pt>
                <c:pt idx="368">
                  <c:v>477.6</c:v>
                </c:pt>
                <c:pt idx="369">
                  <c:v>848.3</c:v>
                </c:pt>
                <c:pt idx="370">
                  <c:v>474.05</c:v>
                </c:pt>
                <c:pt idx="371">
                  <c:v>1349.1</c:v>
                </c:pt>
                <c:pt idx="372">
                  <c:v>499</c:v>
                </c:pt>
                <c:pt idx="373">
                  <c:v>796</c:v>
                </c:pt>
                <c:pt idx="374">
                  <c:v>1799.1</c:v>
                </c:pt>
                <c:pt idx="375">
                  <c:v>807.30000000000007</c:v>
                </c:pt>
                <c:pt idx="376">
                  <c:v>3796.2</c:v>
                </c:pt>
                <c:pt idx="377">
                  <c:v>807.30000000000007</c:v>
                </c:pt>
                <c:pt idx="378">
                  <c:v>1136.2</c:v>
                </c:pt>
                <c:pt idx="379">
                  <c:v>398</c:v>
                </c:pt>
                <c:pt idx="381">
                  <c:v>1199.2</c:v>
                </c:pt>
                <c:pt idx="383">
                  <c:v>1497</c:v>
                </c:pt>
                <c:pt idx="385">
                  <c:v>6396.8</c:v>
                </c:pt>
                <c:pt idx="386">
                  <c:v>949.05</c:v>
                </c:pt>
                <c:pt idx="387">
                  <c:v>399.2</c:v>
                </c:pt>
                <c:pt idx="388">
                  <c:v>1196</c:v>
                </c:pt>
                <c:pt idx="389">
                  <c:v>949.05</c:v>
                </c:pt>
                <c:pt idx="390">
                  <c:v>1696.6</c:v>
                </c:pt>
                <c:pt idx="391">
                  <c:v>4796.8</c:v>
                </c:pt>
                <c:pt idx="392">
                  <c:v>2698.2</c:v>
                </c:pt>
                <c:pt idx="393">
                  <c:v>2998</c:v>
                </c:pt>
                <c:pt idx="394">
                  <c:v>2548.3000000000002</c:v>
                </c:pt>
                <c:pt idx="395">
                  <c:v>284.05</c:v>
                </c:pt>
                <c:pt idx="397">
                  <c:v>998</c:v>
                </c:pt>
                <c:pt idx="398">
                  <c:v>1196</c:v>
                </c:pt>
                <c:pt idx="399">
                  <c:v>1199.2</c:v>
                </c:pt>
                <c:pt idx="402">
                  <c:v>0</c:v>
                </c:pt>
                <c:pt idx="403">
                  <c:v>0</c:v>
                </c:pt>
                <c:pt idx="404">
                  <c:v>5997</c:v>
                </c:pt>
                <c:pt idx="405">
                  <c:v>2397.6</c:v>
                </c:pt>
                <c:pt idx="406">
                  <c:v>3996</c:v>
                </c:pt>
                <c:pt idx="407">
                  <c:v>1274.1500000000001</c:v>
                </c:pt>
                <c:pt idx="408">
                  <c:v>0</c:v>
                </c:pt>
                <c:pt idx="409">
                  <c:v>318.39999999999998</c:v>
                </c:pt>
                <c:pt idx="410">
                  <c:v>998</c:v>
                </c:pt>
                <c:pt idx="411">
                  <c:v>998</c:v>
                </c:pt>
                <c:pt idx="414">
                  <c:v>7996</c:v>
                </c:pt>
                <c:pt idx="415">
                  <c:v>1196</c:v>
                </c:pt>
                <c:pt idx="416">
                  <c:v>3198.4</c:v>
                </c:pt>
                <c:pt idx="417">
                  <c:v>538.20000000000005</c:v>
                </c:pt>
                <c:pt idx="418">
                  <c:v>1798.2</c:v>
                </c:pt>
                <c:pt idx="420">
                  <c:v>284.05</c:v>
                </c:pt>
                <c:pt idx="422">
                  <c:v>399.2</c:v>
                </c:pt>
                <c:pt idx="424">
                  <c:v>1896.2</c:v>
                </c:pt>
                <c:pt idx="425">
                  <c:v>796</c:v>
                </c:pt>
                <c:pt idx="426">
                  <c:v>159.19999999999999</c:v>
                </c:pt>
                <c:pt idx="428">
                  <c:v>3822.45</c:v>
                </c:pt>
                <c:pt idx="429">
                  <c:v>0</c:v>
                </c:pt>
                <c:pt idx="430">
                  <c:v>254.15</c:v>
                </c:pt>
                <c:pt idx="431">
                  <c:v>899.1</c:v>
                </c:pt>
                <c:pt idx="432">
                  <c:v>424.15</c:v>
                </c:pt>
                <c:pt idx="435">
                  <c:v>1696.6</c:v>
                </c:pt>
                <c:pt idx="436">
                  <c:v>2398.4</c:v>
                </c:pt>
                <c:pt idx="437">
                  <c:v>179.1</c:v>
                </c:pt>
                <c:pt idx="438">
                  <c:v>2398.4</c:v>
                </c:pt>
                <c:pt idx="439">
                  <c:v>284.05</c:v>
                </c:pt>
                <c:pt idx="440">
                  <c:v>898.2</c:v>
                </c:pt>
                <c:pt idx="441">
                  <c:v>2120.75</c:v>
                </c:pt>
                <c:pt idx="443">
                  <c:v>717.6</c:v>
                </c:pt>
                <c:pt idx="444">
                  <c:v>199</c:v>
                </c:pt>
                <c:pt idx="445">
                  <c:v>0</c:v>
                </c:pt>
                <c:pt idx="446">
                  <c:v>424.15</c:v>
                </c:pt>
                <c:pt idx="447">
                  <c:v>1422.15</c:v>
                </c:pt>
                <c:pt idx="449">
                  <c:v>1998</c:v>
                </c:pt>
                <c:pt idx="450">
                  <c:v>567.15</c:v>
                </c:pt>
                <c:pt idx="451">
                  <c:v>2698.2</c:v>
                </c:pt>
                <c:pt idx="452">
                  <c:v>239.2</c:v>
                </c:pt>
                <c:pt idx="453">
                  <c:v>399.2</c:v>
                </c:pt>
                <c:pt idx="454">
                  <c:v>2120.75</c:v>
                </c:pt>
                <c:pt idx="455">
                  <c:v>3597.6</c:v>
                </c:pt>
                <c:pt idx="456">
                  <c:v>398</c:v>
                </c:pt>
                <c:pt idx="457">
                  <c:v>0</c:v>
                </c:pt>
                <c:pt idx="459">
                  <c:v>597</c:v>
                </c:pt>
                <c:pt idx="460">
                  <c:v>2698.2</c:v>
                </c:pt>
                <c:pt idx="462">
                  <c:v>799.2</c:v>
                </c:pt>
                <c:pt idx="463">
                  <c:v>568.1</c:v>
                </c:pt>
                <c:pt idx="464">
                  <c:v>1347.3</c:v>
                </c:pt>
                <c:pt idx="465">
                  <c:v>199</c:v>
                </c:pt>
                <c:pt idx="467">
                  <c:v>762.44999999999993</c:v>
                </c:pt>
                <c:pt idx="468">
                  <c:v>5997</c:v>
                </c:pt>
                <c:pt idx="469">
                  <c:v>159.19999999999999</c:v>
                </c:pt>
                <c:pt idx="470">
                  <c:v>199</c:v>
                </c:pt>
                <c:pt idx="471">
                  <c:v>538.20000000000005</c:v>
                </c:pt>
                <c:pt idx="473">
                  <c:v>1599.2</c:v>
                </c:pt>
                <c:pt idx="474">
                  <c:v>2998</c:v>
                </c:pt>
                <c:pt idx="476">
                  <c:v>999</c:v>
                </c:pt>
                <c:pt idx="477">
                  <c:v>1497</c:v>
                </c:pt>
                <c:pt idx="478">
                  <c:v>284.05</c:v>
                </c:pt>
                <c:pt idx="480">
                  <c:v>3998</c:v>
                </c:pt>
                <c:pt idx="481">
                  <c:v>299</c:v>
                </c:pt>
                <c:pt idx="482">
                  <c:v>538.20000000000005</c:v>
                </c:pt>
                <c:pt idx="484">
                  <c:v>1896.2</c:v>
                </c:pt>
                <c:pt idx="485">
                  <c:v>2547.4499999999998</c:v>
                </c:pt>
                <c:pt idx="486">
                  <c:v>507.45</c:v>
                </c:pt>
                <c:pt idx="487">
                  <c:v>169.15</c:v>
                </c:pt>
                <c:pt idx="488">
                  <c:v>299</c:v>
                </c:pt>
                <c:pt idx="489">
                  <c:v>474.05</c:v>
                </c:pt>
                <c:pt idx="490">
                  <c:v>5097.45</c:v>
                </c:pt>
                <c:pt idx="491">
                  <c:v>7996</c:v>
                </c:pt>
                <c:pt idx="492">
                  <c:v>2698.2</c:v>
                </c:pt>
                <c:pt idx="494">
                  <c:v>1497</c:v>
                </c:pt>
                <c:pt idx="495">
                  <c:v>1796.4</c:v>
                </c:pt>
                <c:pt idx="498">
                  <c:v>1799.1</c:v>
                </c:pt>
                <c:pt idx="499">
                  <c:v>1899.05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467712"/>
        <c:axId val="212469248"/>
      </c:scatterChart>
      <c:valAx>
        <c:axId val="212467712"/>
        <c:scaling>
          <c:orientation val="minMax"/>
        </c:scaling>
        <c:delete val="0"/>
        <c:axPos val="b"/>
        <c:majorTickMark val="out"/>
        <c:minorTickMark val="none"/>
        <c:tickLblPos val="nextTo"/>
        <c:crossAx val="212469248"/>
        <c:crosses val="autoZero"/>
        <c:crossBetween val="midCat"/>
      </c:valAx>
      <c:valAx>
        <c:axId val="212469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4677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Revenue vs discounts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'raw data'!$I$1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>
              <a:noFill/>
            </a:ln>
          </c:spPr>
          <c:xVal>
            <c:numRef>
              <c:f>'raw data'!$H$2:$H$501</c:f>
              <c:numCache>
                <c:formatCode>General</c:formatCode>
                <c:ptCount val="500"/>
                <c:pt idx="0">
                  <c:v>10</c:v>
                </c:pt>
                <c:pt idx="1">
                  <c:v>15</c:v>
                </c:pt>
                <c:pt idx="2">
                  <c:v>5</c:v>
                </c:pt>
                <c:pt idx="3">
                  <c:v>0</c:v>
                </c:pt>
                <c:pt idx="5">
                  <c:v>20</c:v>
                </c:pt>
                <c:pt idx="6">
                  <c:v>10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1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0</c:v>
                </c:pt>
                <c:pt idx="16">
                  <c:v>0</c:v>
                </c:pt>
                <c:pt idx="17">
                  <c:v>10</c:v>
                </c:pt>
                <c:pt idx="18">
                  <c:v>15</c:v>
                </c:pt>
                <c:pt idx="19">
                  <c:v>20</c:v>
                </c:pt>
                <c:pt idx="20">
                  <c:v>5</c:v>
                </c:pt>
                <c:pt idx="21">
                  <c:v>10</c:v>
                </c:pt>
                <c:pt idx="22">
                  <c:v>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5</c:v>
                </c:pt>
                <c:pt idx="32">
                  <c:v>15</c:v>
                </c:pt>
                <c:pt idx="33">
                  <c:v>20</c:v>
                </c:pt>
                <c:pt idx="35">
                  <c:v>10</c:v>
                </c:pt>
                <c:pt idx="36">
                  <c:v>10</c:v>
                </c:pt>
                <c:pt idx="39">
                  <c:v>10</c:v>
                </c:pt>
                <c:pt idx="40">
                  <c:v>15</c:v>
                </c:pt>
                <c:pt idx="41">
                  <c:v>0</c:v>
                </c:pt>
                <c:pt idx="42">
                  <c:v>0</c:v>
                </c:pt>
                <c:pt idx="44">
                  <c:v>5</c:v>
                </c:pt>
                <c:pt idx="47">
                  <c:v>0</c:v>
                </c:pt>
                <c:pt idx="48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5</c:v>
                </c:pt>
                <c:pt idx="53">
                  <c:v>10</c:v>
                </c:pt>
                <c:pt idx="54">
                  <c:v>0</c:v>
                </c:pt>
                <c:pt idx="55">
                  <c:v>15</c:v>
                </c:pt>
                <c:pt idx="56">
                  <c:v>15</c:v>
                </c:pt>
                <c:pt idx="57">
                  <c:v>20</c:v>
                </c:pt>
                <c:pt idx="59">
                  <c:v>0</c:v>
                </c:pt>
                <c:pt idx="60">
                  <c:v>10</c:v>
                </c:pt>
                <c:pt idx="61">
                  <c:v>15</c:v>
                </c:pt>
                <c:pt idx="62">
                  <c:v>0</c:v>
                </c:pt>
                <c:pt idx="63">
                  <c:v>15</c:v>
                </c:pt>
                <c:pt idx="64">
                  <c:v>10</c:v>
                </c:pt>
                <c:pt idx="65">
                  <c:v>15</c:v>
                </c:pt>
                <c:pt idx="68">
                  <c:v>20</c:v>
                </c:pt>
                <c:pt idx="69">
                  <c:v>20</c:v>
                </c:pt>
                <c:pt idx="70">
                  <c:v>15</c:v>
                </c:pt>
                <c:pt idx="71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15</c:v>
                </c:pt>
                <c:pt idx="76">
                  <c:v>0</c:v>
                </c:pt>
                <c:pt idx="78">
                  <c:v>10</c:v>
                </c:pt>
                <c:pt idx="79">
                  <c:v>20</c:v>
                </c:pt>
                <c:pt idx="80">
                  <c:v>10</c:v>
                </c:pt>
                <c:pt idx="81">
                  <c:v>0</c:v>
                </c:pt>
                <c:pt idx="82">
                  <c:v>10</c:v>
                </c:pt>
                <c:pt idx="85">
                  <c:v>0</c:v>
                </c:pt>
                <c:pt idx="86">
                  <c:v>15</c:v>
                </c:pt>
                <c:pt idx="87">
                  <c:v>10</c:v>
                </c:pt>
                <c:pt idx="88">
                  <c:v>15</c:v>
                </c:pt>
                <c:pt idx="89">
                  <c:v>15</c:v>
                </c:pt>
                <c:pt idx="90">
                  <c:v>5</c:v>
                </c:pt>
                <c:pt idx="91">
                  <c:v>0</c:v>
                </c:pt>
                <c:pt idx="92">
                  <c:v>20</c:v>
                </c:pt>
                <c:pt idx="95">
                  <c:v>0</c:v>
                </c:pt>
                <c:pt idx="96">
                  <c:v>20</c:v>
                </c:pt>
                <c:pt idx="98">
                  <c:v>0</c:v>
                </c:pt>
                <c:pt idx="100">
                  <c:v>15</c:v>
                </c:pt>
                <c:pt idx="101">
                  <c:v>10</c:v>
                </c:pt>
                <c:pt idx="102">
                  <c:v>10</c:v>
                </c:pt>
                <c:pt idx="104">
                  <c:v>5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15</c:v>
                </c:pt>
                <c:pt idx="109">
                  <c:v>20</c:v>
                </c:pt>
                <c:pt idx="110">
                  <c:v>10</c:v>
                </c:pt>
                <c:pt idx="111">
                  <c:v>15</c:v>
                </c:pt>
                <c:pt idx="112">
                  <c:v>0</c:v>
                </c:pt>
                <c:pt idx="113">
                  <c:v>20</c:v>
                </c:pt>
                <c:pt idx="114">
                  <c:v>20</c:v>
                </c:pt>
                <c:pt idx="115">
                  <c:v>0</c:v>
                </c:pt>
                <c:pt idx="116">
                  <c:v>20</c:v>
                </c:pt>
                <c:pt idx="117">
                  <c:v>0</c:v>
                </c:pt>
                <c:pt idx="118">
                  <c:v>15</c:v>
                </c:pt>
                <c:pt idx="119">
                  <c:v>10</c:v>
                </c:pt>
                <c:pt idx="120">
                  <c:v>0</c:v>
                </c:pt>
                <c:pt idx="121">
                  <c:v>5</c:v>
                </c:pt>
                <c:pt idx="122">
                  <c:v>0</c:v>
                </c:pt>
                <c:pt idx="123">
                  <c:v>20</c:v>
                </c:pt>
                <c:pt idx="124">
                  <c:v>15</c:v>
                </c:pt>
                <c:pt idx="126">
                  <c:v>15</c:v>
                </c:pt>
                <c:pt idx="128">
                  <c:v>0</c:v>
                </c:pt>
                <c:pt idx="129">
                  <c:v>10</c:v>
                </c:pt>
                <c:pt idx="130">
                  <c:v>5</c:v>
                </c:pt>
                <c:pt idx="131">
                  <c:v>15</c:v>
                </c:pt>
                <c:pt idx="132">
                  <c:v>20</c:v>
                </c:pt>
                <c:pt idx="134">
                  <c:v>20</c:v>
                </c:pt>
                <c:pt idx="135">
                  <c:v>10</c:v>
                </c:pt>
                <c:pt idx="137">
                  <c:v>15</c:v>
                </c:pt>
                <c:pt idx="138">
                  <c:v>0</c:v>
                </c:pt>
                <c:pt idx="139">
                  <c:v>20</c:v>
                </c:pt>
                <c:pt idx="140">
                  <c:v>10</c:v>
                </c:pt>
                <c:pt idx="141">
                  <c:v>15</c:v>
                </c:pt>
                <c:pt idx="142">
                  <c:v>15</c:v>
                </c:pt>
                <c:pt idx="143">
                  <c:v>15</c:v>
                </c:pt>
                <c:pt idx="144">
                  <c:v>15</c:v>
                </c:pt>
                <c:pt idx="146">
                  <c:v>15</c:v>
                </c:pt>
                <c:pt idx="147">
                  <c:v>20</c:v>
                </c:pt>
                <c:pt idx="148">
                  <c:v>10</c:v>
                </c:pt>
                <c:pt idx="150">
                  <c:v>15</c:v>
                </c:pt>
                <c:pt idx="151">
                  <c:v>5</c:v>
                </c:pt>
                <c:pt idx="152">
                  <c:v>5</c:v>
                </c:pt>
                <c:pt idx="153">
                  <c:v>10</c:v>
                </c:pt>
                <c:pt idx="154">
                  <c:v>0</c:v>
                </c:pt>
                <c:pt idx="155">
                  <c:v>0</c:v>
                </c:pt>
                <c:pt idx="159">
                  <c:v>0</c:v>
                </c:pt>
                <c:pt idx="160">
                  <c:v>5</c:v>
                </c:pt>
                <c:pt idx="161">
                  <c:v>0</c:v>
                </c:pt>
                <c:pt idx="162">
                  <c:v>20</c:v>
                </c:pt>
                <c:pt idx="163">
                  <c:v>15</c:v>
                </c:pt>
                <c:pt idx="165">
                  <c:v>5</c:v>
                </c:pt>
                <c:pt idx="166">
                  <c:v>10</c:v>
                </c:pt>
                <c:pt idx="167">
                  <c:v>10</c:v>
                </c:pt>
                <c:pt idx="168">
                  <c:v>15</c:v>
                </c:pt>
                <c:pt idx="169">
                  <c:v>5</c:v>
                </c:pt>
                <c:pt idx="170">
                  <c:v>0</c:v>
                </c:pt>
                <c:pt idx="171">
                  <c:v>0</c:v>
                </c:pt>
                <c:pt idx="172">
                  <c:v>20</c:v>
                </c:pt>
                <c:pt idx="173">
                  <c:v>20</c:v>
                </c:pt>
                <c:pt idx="174">
                  <c:v>0</c:v>
                </c:pt>
                <c:pt idx="175">
                  <c:v>10</c:v>
                </c:pt>
                <c:pt idx="177">
                  <c:v>10</c:v>
                </c:pt>
                <c:pt idx="178">
                  <c:v>20</c:v>
                </c:pt>
                <c:pt idx="179">
                  <c:v>15</c:v>
                </c:pt>
                <c:pt idx="180">
                  <c:v>0</c:v>
                </c:pt>
                <c:pt idx="181">
                  <c:v>20</c:v>
                </c:pt>
                <c:pt idx="182">
                  <c:v>20</c:v>
                </c:pt>
                <c:pt idx="184">
                  <c:v>0</c:v>
                </c:pt>
                <c:pt idx="186">
                  <c:v>0</c:v>
                </c:pt>
                <c:pt idx="188">
                  <c:v>10</c:v>
                </c:pt>
                <c:pt idx="189">
                  <c:v>15</c:v>
                </c:pt>
                <c:pt idx="190">
                  <c:v>15</c:v>
                </c:pt>
                <c:pt idx="191">
                  <c:v>0</c:v>
                </c:pt>
                <c:pt idx="192">
                  <c:v>5</c:v>
                </c:pt>
                <c:pt idx="193">
                  <c:v>20</c:v>
                </c:pt>
                <c:pt idx="194">
                  <c:v>20</c:v>
                </c:pt>
                <c:pt idx="195">
                  <c:v>0</c:v>
                </c:pt>
                <c:pt idx="197">
                  <c:v>5</c:v>
                </c:pt>
                <c:pt idx="198">
                  <c:v>10</c:v>
                </c:pt>
                <c:pt idx="201">
                  <c:v>0</c:v>
                </c:pt>
                <c:pt idx="202">
                  <c:v>0</c:v>
                </c:pt>
                <c:pt idx="203">
                  <c:v>20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20</c:v>
                </c:pt>
                <c:pt idx="208">
                  <c:v>10</c:v>
                </c:pt>
                <c:pt idx="209">
                  <c:v>10</c:v>
                </c:pt>
                <c:pt idx="210">
                  <c:v>0</c:v>
                </c:pt>
                <c:pt idx="211">
                  <c:v>20</c:v>
                </c:pt>
                <c:pt idx="212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20</c:v>
                </c:pt>
                <c:pt idx="218">
                  <c:v>20</c:v>
                </c:pt>
                <c:pt idx="219">
                  <c:v>0</c:v>
                </c:pt>
                <c:pt idx="220">
                  <c:v>15</c:v>
                </c:pt>
                <c:pt idx="221">
                  <c:v>10</c:v>
                </c:pt>
                <c:pt idx="222">
                  <c:v>15</c:v>
                </c:pt>
                <c:pt idx="223">
                  <c:v>20</c:v>
                </c:pt>
                <c:pt idx="224">
                  <c:v>20</c:v>
                </c:pt>
                <c:pt idx="225">
                  <c:v>20</c:v>
                </c:pt>
                <c:pt idx="226">
                  <c:v>15</c:v>
                </c:pt>
                <c:pt idx="227">
                  <c:v>20</c:v>
                </c:pt>
                <c:pt idx="228">
                  <c:v>0</c:v>
                </c:pt>
                <c:pt idx="229">
                  <c:v>20</c:v>
                </c:pt>
                <c:pt idx="230">
                  <c:v>5</c:v>
                </c:pt>
                <c:pt idx="231">
                  <c:v>15</c:v>
                </c:pt>
                <c:pt idx="232">
                  <c:v>5</c:v>
                </c:pt>
                <c:pt idx="233">
                  <c:v>20</c:v>
                </c:pt>
                <c:pt idx="234">
                  <c:v>0</c:v>
                </c:pt>
                <c:pt idx="235">
                  <c:v>10</c:v>
                </c:pt>
                <c:pt idx="238">
                  <c:v>20</c:v>
                </c:pt>
                <c:pt idx="239">
                  <c:v>0</c:v>
                </c:pt>
                <c:pt idx="240">
                  <c:v>15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15</c:v>
                </c:pt>
                <c:pt idx="246">
                  <c:v>0</c:v>
                </c:pt>
                <c:pt idx="247">
                  <c:v>15</c:v>
                </c:pt>
                <c:pt idx="248">
                  <c:v>5</c:v>
                </c:pt>
                <c:pt idx="249">
                  <c:v>20</c:v>
                </c:pt>
                <c:pt idx="250">
                  <c:v>10</c:v>
                </c:pt>
                <c:pt idx="251">
                  <c:v>15</c:v>
                </c:pt>
                <c:pt idx="252">
                  <c:v>15</c:v>
                </c:pt>
                <c:pt idx="253">
                  <c:v>0</c:v>
                </c:pt>
                <c:pt idx="254">
                  <c:v>0</c:v>
                </c:pt>
                <c:pt idx="255">
                  <c:v>15</c:v>
                </c:pt>
                <c:pt idx="256">
                  <c:v>5</c:v>
                </c:pt>
                <c:pt idx="257">
                  <c:v>10</c:v>
                </c:pt>
                <c:pt idx="258">
                  <c:v>0</c:v>
                </c:pt>
                <c:pt idx="259">
                  <c:v>5</c:v>
                </c:pt>
                <c:pt idx="260">
                  <c:v>20</c:v>
                </c:pt>
                <c:pt idx="261">
                  <c:v>0</c:v>
                </c:pt>
                <c:pt idx="262">
                  <c:v>5</c:v>
                </c:pt>
                <c:pt idx="263">
                  <c:v>5</c:v>
                </c:pt>
                <c:pt idx="264">
                  <c:v>10</c:v>
                </c:pt>
                <c:pt idx="265">
                  <c:v>10</c:v>
                </c:pt>
                <c:pt idx="266">
                  <c:v>20</c:v>
                </c:pt>
                <c:pt idx="267">
                  <c:v>5</c:v>
                </c:pt>
                <c:pt idx="269">
                  <c:v>5</c:v>
                </c:pt>
                <c:pt idx="270">
                  <c:v>10</c:v>
                </c:pt>
                <c:pt idx="272">
                  <c:v>0</c:v>
                </c:pt>
                <c:pt idx="273">
                  <c:v>0</c:v>
                </c:pt>
                <c:pt idx="274">
                  <c:v>15</c:v>
                </c:pt>
                <c:pt idx="275">
                  <c:v>10</c:v>
                </c:pt>
                <c:pt idx="276">
                  <c:v>15</c:v>
                </c:pt>
                <c:pt idx="278">
                  <c:v>10</c:v>
                </c:pt>
                <c:pt idx="279">
                  <c:v>20</c:v>
                </c:pt>
                <c:pt idx="280">
                  <c:v>5</c:v>
                </c:pt>
                <c:pt idx="281">
                  <c:v>20</c:v>
                </c:pt>
                <c:pt idx="283">
                  <c:v>10</c:v>
                </c:pt>
                <c:pt idx="285">
                  <c:v>5</c:v>
                </c:pt>
                <c:pt idx="286">
                  <c:v>0</c:v>
                </c:pt>
                <c:pt idx="287">
                  <c:v>0</c:v>
                </c:pt>
                <c:pt idx="289">
                  <c:v>15</c:v>
                </c:pt>
                <c:pt idx="290">
                  <c:v>10</c:v>
                </c:pt>
                <c:pt idx="291">
                  <c:v>10</c:v>
                </c:pt>
                <c:pt idx="292">
                  <c:v>0</c:v>
                </c:pt>
                <c:pt idx="293">
                  <c:v>20</c:v>
                </c:pt>
                <c:pt idx="294">
                  <c:v>5</c:v>
                </c:pt>
                <c:pt idx="295">
                  <c:v>20</c:v>
                </c:pt>
                <c:pt idx="296">
                  <c:v>20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2">
                  <c:v>15</c:v>
                </c:pt>
                <c:pt idx="303">
                  <c:v>20</c:v>
                </c:pt>
                <c:pt idx="305">
                  <c:v>10</c:v>
                </c:pt>
                <c:pt idx="306">
                  <c:v>5</c:v>
                </c:pt>
                <c:pt idx="307">
                  <c:v>15</c:v>
                </c:pt>
                <c:pt idx="308">
                  <c:v>10</c:v>
                </c:pt>
                <c:pt idx="309">
                  <c:v>20</c:v>
                </c:pt>
                <c:pt idx="310">
                  <c:v>0</c:v>
                </c:pt>
                <c:pt idx="311">
                  <c:v>20</c:v>
                </c:pt>
                <c:pt idx="313">
                  <c:v>5</c:v>
                </c:pt>
                <c:pt idx="315">
                  <c:v>15</c:v>
                </c:pt>
                <c:pt idx="316">
                  <c:v>15</c:v>
                </c:pt>
                <c:pt idx="317">
                  <c:v>5</c:v>
                </c:pt>
                <c:pt idx="318">
                  <c:v>10</c:v>
                </c:pt>
                <c:pt idx="319">
                  <c:v>10</c:v>
                </c:pt>
                <c:pt idx="320">
                  <c:v>15</c:v>
                </c:pt>
                <c:pt idx="321">
                  <c:v>15</c:v>
                </c:pt>
                <c:pt idx="322">
                  <c:v>0</c:v>
                </c:pt>
                <c:pt idx="323">
                  <c:v>10</c:v>
                </c:pt>
                <c:pt idx="324">
                  <c:v>5</c:v>
                </c:pt>
                <c:pt idx="325">
                  <c:v>10</c:v>
                </c:pt>
                <c:pt idx="326">
                  <c:v>0</c:v>
                </c:pt>
                <c:pt idx="328">
                  <c:v>15</c:v>
                </c:pt>
                <c:pt idx="329">
                  <c:v>15</c:v>
                </c:pt>
                <c:pt idx="330">
                  <c:v>0</c:v>
                </c:pt>
                <c:pt idx="331">
                  <c:v>5</c:v>
                </c:pt>
                <c:pt idx="332">
                  <c:v>15</c:v>
                </c:pt>
                <c:pt idx="333">
                  <c:v>20</c:v>
                </c:pt>
                <c:pt idx="334">
                  <c:v>15</c:v>
                </c:pt>
                <c:pt idx="335">
                  <c:v>20</c:v>
                </c:pt>
                <c:pt idx="336">
                  <c:v>0</c:v>
                </c:pt>
                <c:pt idx="337">
                  <c:v>0</c:v>
                </c:pt>
                <c:pt idx="338">
                  <c:v>15</c:v>
                </c:pt>
                <c:pt idx="339">
                  <c:v>10</c:v>
                </c:pt>
                <c:pt idx="340">
                  <c:v>20</c:v>
                </c:pt>
                <c:pt idx="341">
                  <c:v>5</c:v>
                </c:pt>
                <c:pt idx="342">
                  <c:v>15</c:v>
                </c:pt>
                <c:pt idx="343">
                  <c:v>5</c:v>
                </c:pt>
                <c:pt idx="344">
                  <c:v>15</c:v>
                </c:pt>
                <c:pt idx="345">
                  <c:v>10</c:v>
                </c:pt>
                <c:pt idx="346">
                  <c:v>10</c:v>
                </c:pt>
                <c:pt idx="347">
                  <c:v>10</c:v>
                </c:pt>
                <c:pt idx="349">
                  <c:v>10</c:v>
                </c:pt>
                <c:pt idx="350">
                  <c:v>0</c:v>
                </c:pt>
                <c:pt idx="351">
                  <c:v>0</c:v>
                </c:pt>
                <c:pt idx="353">
                  <c:v>20</c:v>
                </c:pt>
                <c:pt idx="354">
                  <c:v>5</c:v>
                </c:pt>
                <c:pt idx="355">
                  <c:v>15</c:v>
                </c:pt>
                <c:pt idx="356">
                  <c:v>15</c:v>
                </c:pt>
                <c:pt idx="358">
                  <c:v>0</c:v>
                </c:pt>
                <c:pt idx="359">
                  <c:v>15</c:v>
                </c:pt>
                <c:pt idx="360">
                  <c:v>0</c:v>
                </c:pt>
                <c:pt idx="361">
                  <c:v>20</c:v>
                </c:pt>
                <c:pt idx="362">
                  <c:v>5</c:v>
                </c:pt>
                <c:pt idx="363">
                  <c:v>20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20</c:v>
                </c:pt>
                <c:pt idx="369">
                  <c:v>15</c:v>
                </c:pt>
                <c:pt idx="370">
                  <c:v>5</c:v>
                </c:pt>
                <c:pt idx="371">
                  <c:v>10</c:v>
                </c:pt>
                <c:pt idx="374">
                  <c:v>10</c:v>
                </c:pt>
                <c:pt idx="375">
                  <c:v>10</c:v>
                </c:pt>
                <c:pt idx="376">
                  <c:v>5</c:v>
                </c:pt>
                <c:pt idx="377">
                  <c:v>10</c:v>
                </c:pt>
                <c:pt idx="378">
                  <c:v>5</c:v>
                </c:pt>
                <c:pt idx="380">
                  <c:v>10</c:v>
                </c:pt>
                <c:pt idx="381">
                  <c:v>20</c:v>
                </c:pt>
                <c:pt idx="382">
                  <c:v>20</c:v>
                </c:pt>
                <c:pt idx="384">
                  <c:v>5</c:v>
                </c:pt>
                <c:pt idx="385">
                  <c:v>20</c:v>
                </c:pt>
                <c:pt idx="386">
                  <c:v>5</c:v>
                </c:pt>
                <c:pt idx="387">
                  <c:v>20</c:v>
                </c:pt>
                <c:pt idx="388">
                  <c:v>20</c:v>
                </c:pt>
                <c:pt idx="389">
                  <c:v>5</c:v>
                </c:pt>
                <c:pt idx="390">
                  <c:v>15</c:v>
                </c:pt>
                <c:pt idx="391">
                  <c:v>20</c:v>
                </c:pt>
                <c:pt idx="392">
                  <c:v>10</c:v>
                </c:pt>
                <c:pt idx="394">
                  <c:v>15</c:v>
                </c:pt>
                <c:pt idx="395">
                  <c:v>5</c:v>
                </c:pt>
                <c:pt idx="396">
                  <c:v>15</c:v>
                </c:pt>
                <c:pt idx="397">
                  <c:v>0</c:v>
                </c:pt>
                <c:pt idx="398">
                  <c:v>0</c:v>
                </c:pt>
                <c:pt idx="399">
                  <c:v>20</c:v>
                </c:pt>
                <c:pt idx="400">
                  <c:v>20</c:v>
                </c:pt>
                <c:pt idx="401">
                  <c:v>10</c:v>
                </c:pt>
                <c:pt idx="403">
                  <c:v>15</c:v>
                </c:pt>
                <c:pt idx="404">
                  <c:v>0</c:v>
                </c:pt>
                <c:pt idx="405">
                  <c:v>20</c:v>
                </c:pt>
                <c:pt idx="407">
                  <c:v>15</c:v>
                </c:pt>
                <c:pt idx="408">
                  <c:v>20</c:v>
                </c:pt>
                <c:pt idx="409">
                  <c:v>20</c:v>
                </c:pt>
                <c:pt idx="410">
                  <c:v>0</c:v>
                </c:pt>
                <c:pt idx="411">
                  <c:v>0</c:v>
                </c:pt>
                <c:pt idx="412">
                  <c:v>20</c:v>
                </c:pt>
                <c:pt idx="413">
                  <c:v>5</c:v>
                </c:pt>
                <c:pt idx="414">
                  <c:v>20</c:v>
                </c:pt>
                <c:pt idx="416">
                  <c:v>20</c:v>
                </c:pt>
                <c:pt idx="417">
                  <c:v>10</c:v>
                </c:pt>
                <c:pt idx="418">
                  <c:v>10</c:v>
                </c:pt>
                <c:pt idx="419">
                  <c:v>10</c:v>
                </c:pt>
                <c:pt idx="420">
                  <c:v>5</c:v>
                </c:pt>
                <c:pt idx="421">
                  <c:v>5</c:v>
                </c:pt>
                <c:pt idx="422">
                  <c:v>20</c:v>
                </c:pt>
                <c:pt idx="423">
                  <c:v>10</c:v>
                </c:pt>
                <c:pt idx="424">
                  <c:v>5</c:v>
                </c:pt>
                <c:pt idx="425">
                  <c:v>0</c:v>
                </c:pt>
                <c:pt idx="426">
                  <c:v>20</c:v>
                </c:pt>
                <c:pt idx="428">
                  <c:v>15</c:v>
                </c:pt>
                <c:pt idx="429">
                  <c:v>20</c:v>
                </c:pt>
                <c:pt idx="430">
                  <c:v>15</c:v>
                </c:pt>
                <c:pt idx="431">
                  <c:v>10</c:v>
                </c:pt>
                <c:pt idx="432">
                  <c:v>15</c:v>
                </c:pt>
                <c:pt idx="433">
                  <c:v>10</c:v>
                </c:pt>
                <c:pt idx="434">
                  <c:v>0</c:v>
                </c:pt>
                <c:pt idx="435">
                  <c:v>15</c:v>
                </c:pt>
                <c:pt idx="436">
                  <c:v>20</c:v>
                </c:pt>
                <c:pt idx="437">
                  <c:v>10</c:v>
                </c:pt>
                <c:pt idx="438">
                  <c:v>20</c:v>
                </c:pt>
                <c:pt idx="439">
                  <c:v>5</c:v>
                </c:pt>
                <c:pt idx="440">
                  <c:v>10</c:v>
                </c:pt>
                <c:pt idx="441">
                  <c:v>15</c:v>
                </c:pt>
                <c:pt idx="442">
                  <c:v>10</c:v>
                </c:pt>
                <c:pt idx="443">
                  <c:v>20</c:v>
                </c:pt>
                <c:pt idx="444">
                  <c:v>0</c:v>
                </c:pt>
                <c:pt idx="445">
                  <c:v>10</c:v>
                </c:pt>
                <c:pt idx="446">
                  <c:v>15</c:v>
                </c:pt>
                <c:pt idx="447">
                  <c:v>5</c:v>
                </c:pt>
                <c:pt idx="449">
                  <c:v>0</c:v>
                </c:pt>
                <c:pt idx="450">
                  <c:v>5</c:v>
                </c:pt>
                <c:pt idx="451">
                  <c:v>10</c:v>
                </c:pt>
                <c:pt idx="452">
                  <c:v>20</c:v>
                </c:pt>
                <c:pt idx="453">
                  <c:v>20</c:v>
                </c:pt>
                <c:pt idx="454">
                  <c:v>15</c:v>
                </c:pt>
                <c:pt idx="455">
                  <c:v>20</c:v>
                </c:pt>
                <c:pt idx="456">
                  <c:v>0</c:v>
                </c:pt>
                <c:pt idx="457">
                  <c:v>20</c:v>
                </c:pt>
                <c:pt idx="458">
                  <c:v>15</c:v>
                </c:pt>
                <c:pt idx="460">
                  <c:v>10</c:v>
                </c:pt>
                <c:pt idx="461">
                  <c:v>10</c:v>
                </c:pt>
                <c:pt idx="462">
                  <c:v>20</c:v>
                </c:pt>
                <c:pt idx="463">
                  <c:v>5</c:v>
                </c:pt>
                <c:pt idx="464">
                  <c:v>10</c:v>
                </c:pt>
                <c:pt idx="466">
                  <c:v>20</c:v>
                </c:pt>
                <c:pt idx="467">
                  <c:v>15</c:v>
                </c:pt>
                <c:pt idx="469">
                  <c:v>20</c:v>
                </c:pt>
                <c:pt idx="471">
                  <c:v>10</c:v>
                </c:pt>
                <c:pt idx="472">
                  <c:v>15</c:v>
                </c:pt>
                <c:pt idx="473">
                  <c:v>20</c:v>
                </c:pt>
                <c:pt idx="474">
                  <c:v>0</c:v>
                </c:pt>
                <c:pt idx="475">
                  <c:v>15</c:v>
                </c:pt>
                <c:pt idx="476">
                  <c:v>0</c:v>
                </c:pt>
                <c:pt idx="478">
                  <c:v>5</c:v>
                </c:pt>
                <c:pt idx="479">
                  <c:v>15</c:v>
                </c:pt>
                <c:pt idx="481">
                  <c:v>0</c:v>
                </c:pt>
                <c:pt idx="482">
                  <c:v>10</c:v>
                </c:pt>
                <c:pt idx="483">
                  <c:v>10</c:v>
                </c:pt>
                <c:pt idx="484">
                  <c:v>5</c:v>
                </c:pt>
                <c:pt idx="485">
                  <c:v>15</c:v>
                </c:pt>
                <c:pt idx="486">
                  <c:v>15</c:v>
                </c:pt>
                <c:pt idx="487">
                  <c:v>15</c:v>
                </c:pt>
                <c:pt idx="489">
                  <c:v>5</c:v>
                </c:pt>
                <c:pt idx="490">
                  <c:v>15</c:v>
                </c:pt>
                <c:pt idx="492">
                  <c:v>10</c:v>
                </c:pt>
                <c:pt idx="493">
                  <c:v>0</c:v>
                </c:pt>
                <c:pt idx="495">
                  <c:v>10</c:v>
                </c:pt>
                <c:pt idx="496">
                  <c:v>10</c:v>
                </c:pt>
                <c:pt idx="497">
                  <c:v>0</c:v>
                </c:pt>
                <c:pt idx="498">
                  <c:v>10</c:v>
                </c:pt>
                <c:pt idx="499">
                  <c:v>5</c:v>
                </c:pt>
              </c:numCache>
            </c:numRef>
          </c:xVal>
          <c:yVal>
            <c:numRef>
              <c:f>'raw data'!$I$2:$I$501</c:f>
              <c:numCache>
                <c:formatCode>General</c:formatCode>
                <c:ptCount val="500"/>
                <c:pt idx="0">
                  <c:v>358.2</c:v>
                </c:pt>
                <c:pt idx="1">
                  <c:v>358.2</c:v>
                </c:pt>
                <c:pt idx="2">
                  <c:v>358.2</c:v>
                </c:pt>
                <c:pt idx="3">
                  <c:v>358.2</c:v>
                </c:pt>
                <c:pt idx="4">
                  <c:v>358.2</c:v>
                </c:pt>
                <c:pt idx="5">
                  <c:v>358.2</c:v>
                </c:pt>
                <c:pt idx="6">
                  <c:v>358.2</c:v>
                </c:pt>
                <c:pt idx="7">
                  <c:v>358.2</c:v>
                </c:pt>
                <c:pt idx="8">
                  <c:v>358.2</c:v>
                </c:pt>
                <c:pt idx="9">
                  <c:v>358.2</c:v>
                </c:pt>
                <c:pt idx="10">
                  <c:v>358.2</c:v>
                </c:pt>
                <c:pt idx="11">
                  <c:v>358.2</c:v>
                </c:pt>
                <c:pt idx="12">
                  <c:v>358.2</c:v>
                </c:pt>
                <c:pt idx="14">
                  <c:v>1696.6</c:v>
                </c:pt>
                <c:pt idx="15">
                  <c:v>1497</c:v>
                </c:pt>
                <c:pt idx="16">
                  <c:v>2998</c:v>
                </c:pt>
                <c:pt idx="17">
                  <c:v>716.4</c:v>
                </c:pt>
                <c:pt idx="18">
                  <c:v>507.45</c:v>
                </c:pt>
                <c:pt idx="19">
                  <c:v>318.39999999999998</c:v>
                </c:pt>
                <c:pt idx="20">
                  <c:v>0</c:v>
                </c:pt>
                <c:pt idx="23">
                  <c:v>1499</c:v>
                </c:pt>
                <c:pt idx="24">
                  <c:v>1349.1</c:v>
                </c:pt>
                <c:pt idx="26">
                  <c:v>179.1</c:v>
                </c:pt>
                <c:pt idx="27">
                  <c:v>899.1</c:v>
                </c:pt>
                <c:pt idx="29">
                  <c:v>499</c:v>
                </c:pt>
                <c:pt idx="30">
                  <c:v>897</c:v>
                </c:pt>
                <c:pt idx="31">
                  <c:v>897</c:v>
                </c:pt>
                <c:pt idx="32">
                  <c:v>3398.3</c:v>
                </c:pt>
                <c:pt idx="33">
                  <c:v>3198.4</c:v>
                </c:pt>
                <c:pt idx="34">
                  <c:v>4497</c:v>
                </c:pt>
                <c:pt idx="35">
                  <c:v>0</c:v>
                </c:pt>
                <c:pt idx="36">
                  <c:v>1798.2</c:v>
                </c:pt>
                <c:pt idx="38">
                  <c:v>1497</c:v>
                </c:pt>
                <c:pt idx="39">
                  <c:v>1799.1</c:v>
                </c:pt>
                <c:pt idx="40">
                  <c:v>1698.3</c:v>
                </c:pt>
                <c:pt idx="41">
                  <c:v>998</c:v>
                </c:pt>
                <c:pt idx="42">
                  <c:v>998</c:v>
                </c:pt>
                <c:pt idx="43">
                  <c:v>199</c:v>
                </c:pt>
                <c:pt idx="44">
                  <c:v>1424.05</c:v>
                </c:pt>
                <c:pt idx="45">
                  <c:v>299</c:v>
                </c:pt>
                <c:pt idx="46">
                  <c:v>995</c:v>
                </c:pt>
                <c:pt idx="47">
                  <c:v>2997</c:v>
                </c:pt>
                <c:pt idx="48">
                  <c:v>1349.1</c:v>
                </c:pt>
                <c:pt idx="49">
                  <c:v>999</c:v>
                </c:pt>
                <c:pt idx="50">
                  <c:v>4047.3</c:v>
                </c:pt>
                <c:pt idx="51">
                  <c:v>1799.1</c:v>
                </c:pt>
                <c:pt idx="52">
                  <c:v>949.05</c:v>
                </c:pt>
                <c:pt idx="54">
                  <c:v>1499</c:v>
                </c:pt>
                <c:pt idx="55">
                  <c:v>3822.45</c:v>
                </c:pt>
                <c:pt idx="57">
                  <c:v>798.40000000000009</c:v>
                </c:pt>
                <c:pt idx="59">
                  <c:v>999</c:v>
                </c:pt>
                <c:pt idx="60">
                  <c:v>1796.4</c:v>
                </c:pt>
                <c:pt idx="62">
                  <c:v>7996</c:v>
                </c:pt>
                <c:pt idx="63">
                  <c:v>1699.15</c:v>
                </c:pt>
                <c:pt idx="64">
                  <c:v>1796.4</c:v>
                </c:pt>
                <c:pt idx="65">
                  <c:v>4245.75</c:v>
                </c:pt>
                <c:pt idx="66">
                  <c:v>4497</c:v>
                </c:pt>
                <c:pt idx="67">
                  <c:v>1495</c:v>
                </c:pt>
                <c:pt idx="68">
                  <c:v>3196.8</c:v>
                </c:pt>
                <c:pt idx="69">
                  <c:v>477.6</c:v>
                </c:pt>
                <c:pt idx="70">
                  <c:v>5097.45</c:v>
                </c:pt>
                <c:pt idx="71">
                  <c:v>998</c:v>
                </c:pt>
                <c:pt idx="72">
                  <c:v>499</c:v>
                </c:pt>
                <c:pt idx="73">
                  <c:v>4497</c:v>
                </c:pt>
                <c:pt idx="74">
                  <c:v>398</c:v>
                </c:pt>
                <c:pt idx="75">
                  <c:v>5096.5999999999995</c:v>
                </c:pt>
                <c:pt idx="77">
                  <c:v>1196</c:v>
                </c:pt>
                <c:pt idx="78">
                  <c:v>1799.1</c:v>
                </c:pt>
                <c:pt idx="79">
                  <c:v>399.2</c:v>
                </c:pt>
                <c:pt idx="80">
                  <c:v>449.1</c:v>
                </c:pt>
                <c:pt idx="81">
                  <c:v>897</c:v>
                </c:pt>
                <c:pt idx="83">
                  <c:v>9995</c:v>
                </c:pt>
                <c:pt idx="84">
                  <c:v>2998</c:v>
                </c:pt>
                <c:pt idx="85">
                  <c:v>1495</c:v>
                </c:pt>
                <c:pt idx="86">
                  <c:v>5096.5999999999995</c:v>
                </c:pt>
                <c:pt idx="87">
                  <c:v>1798.2</c:v>
                </c:pt>
                <c:pt idx="88">
                  <c:v>1696.6</c:v>
                </c:pt>
                <c:pt idx="89">
                  <c:v>2548.3000000000002</c:v>
                </c:pt>
                <c:pt idx="90">
                  <c:v>189.05</c:v>
                </c:pt>
                <c:pt idx="91">
                  <c:v>4497</c:v>
                </c:pt>
                <c:pt idx="92">
                  <c:v>1598.4</c:v>
                </c:pt>
                <c:pt idx="93">
                  <c:v>5997</c:v>
                </c:pt>
                <c:pt idx="94">
                  <c:v>1497</c:v>
                </c:pt>
                <c:pt idx="95">
                  <c:v>897</c:v>
                </c:pt>
                <c:pt idx="96">
                  <c:v>1598.4</c:v>
                </c:pt>
                <c:pt idx="97">
                  <c:v>998</c:v>
                </c:pt>
                <c:pt idx="98">
                  <c:v>4497</c:v>
                </c:pt>
                <c:pt idx="99">
                  <c:v>3998</c:v>
                </c:pt>
                <c:pt idx="101">
                  <c:v>0</c:v>
                </c:pt>
                <c:pt idx="103">
                  <c:v>199</c:v>
                </c:pt>
                <c:pt idx="104">
                  <c:v>5697.15</c:v>
                </c:pt>
                <c:pt idx="105">
                  <c:v>1596.8</c:v>
                </c:pt>
                <c:pt idx="107">
                  <c:v>478.4</c:v>
                </c:pt>
                <c:pt idx="109">
                  <c:v>956.80000000000007</c:v>
                </c:pt>
                <c:pt idx="110">
                  <c:v>8995.5</c:v>
                </c:pt>
                <c:pt idx="111">
                  <c:v>1016.6</c:v>
                </c:pt>
                <c:pt idx="113">
                  <c:v>399.2</c:v>
                </c:pt>
                <c:pt idx="114">
                  <c:v>2398.4</c:v>
                </c:pt>
                <c:pt idx="115">
                  <c:v>999</c:v>
                </c:pt>
                <c:pt idx="118">
                  <c:v>2548.3000000000002</c:v>
                </c:pt>
                <c:pt idx="119">
                  <c:v>1347.3</c:v>
                </c:pt>
                <c:pt idx="120">
                  <c:v>1497</c:v>
                </c:pt>
                <c:pt idx="121">
                  <c:v>3798.1</c:v>
                </c:pt>
                <c:pt idx="122">
                  <c:v>1196</c:v>
                </c:pt>
                <c:pt idx="123">
                  <c:v>3198.4</c:v>
                </c:pt>
                <c:pt idx="124">
                  <c:v>5096.5999999999995</c:v>
                </c:pt>
                <c:pt idx="125">
                  <c:v>1999</c:v>
                </c:pt>
                <c:pt idx="127">
                  <c:v>1497</c:v>
                </c:pt>
                <c:pt idx="128">
                  <c:v>598</c:v>
                </c:pt>
                <c:pt idx="129">
                  <c:v>1799.1</c:v>
                </c:pt>
                <c:pt idx="131">
                  <c:v>169.15</c:v>
                </c:pt>
                <c:pt idx="132">
                  <c:v>799.2</c:v>
                </c:pt>
                <c:pt idx="134">
                  <c:v>798.40000000000009</c:v>
                </c:pt>
                <c:pt idx="135">
                  <c:v>2697.3</c:v>
                </c:pt>
                <c:pt idx="136">
                  <c:v>995</c:v>
                </c:pt>
                <c:pt idx="137">
                  <c:v>338.3</c:v>
                </c:pt>
                <c:pt idx="138">
                  <c:v>897</c:v>
                </c:pt>
                <c:pt idx="139">
                  <c:v>799.2</c:v>
                </c:pt>
                <c:pt idx="140">
                  <c:v>807.30000000000007</c:v>
                </c:pt>
                <c:pt idx="143">
                  <c:v>5096.5999999999995</c:v>
                </c:pt>
                <c:pt idx="144">
                  <c:v>2548.3000000000002</c:v>
                </c:pt>
                <c:pt idx="145">
                  <c:v>999</c:v>
                </c:pt>
                <c:pt idx="146">
                  <c:v>5096.5999999999995</c:v>
                </c:pt>
                <c:pt idx="148">
                  <c:v>269.10000000000002</c:v>
                </c:pt>
                <c:pt idx="149">
                  <c:v>999</c:v>
                </c:pt>
                <c:pt idx="150">
                  <c:v>1016.6</c:v>
                </c:pt>
                <c:pt idx="151">
                  <c:v>949.05</c:v>
                </c:pt>
                <c:pt idx="152">
                  <c:v>1420.25</c:v>
                </c:pt>
                <c:pt idx="153">
                  <c:v>358.2</c:v>
                </c:pt>
                <c:pt idx="154">
                  <c:v>299</c:v>
                </c:pt>
                <c:pt idx="155">
                  <c:v>5996</c:v>
                </c:pt>
                <c:pt idx="156">
                  <c:v>398</c:v>
                </c:pt>
                <c:pt idx="157">
                  <c:v>598</c:v>
                </c:pt>
                <c:pt idx="158">
                  <c:v>999</c:v>
                </c:pt>
                <c:pt idx="159">
                  <c:v>0</c:v>
                </c:pt>
                <c:pt idx="160">
                  <c:v>2847.15</c:v>
                </c:pt>
                <c:pt idx="161">
                  <c:v>998</c:v>
                </c:pt>
                <c:pt idx="163">
                  <c:v>3396.6</c:v>
                </c:pt>
                <c:pt idx="164">
                  <c:v>597</c:v>
                </c:pt>
                <c:pt idx="165">
                  <c:v>949.05</c:v>
                </c:pt>
                <c:pt idx="166">
                  <c:v>898.2</c:v>
                </c:pt>
                <c:pt idx="167">
                  <c:v>6745.5</c:v>
                </c:pt>
                <c:pt idx="168">
                  <c:v>676.6</c:v>
                </c:pt>
                <c:pt idx="169">
                  <c:v>1422.15</c:v>
                </c:pt>
                <c:pt idx="170">
                  <c:v>1499</c:v>
                </c:pt>
                <c:pt idx="171">
                  <c:v>3998</c:v>
                </c:pt>
                <c:pt idx="172">
                  <c:v>4797.6000000000004</c:v>
                </c:pt>
                <c:pt idx="173">
                  <c:v>636.80000000000007</c:v>
                </c:pt>
                <c:pt idx="174">
                  <c:v>897</c:v>
                </c:pt>
                <c:pt idx="177">
                  <c:v>449.1</c:v>
                </c:pt>
                <c:pt idx="178">
                  <c:v>2398.4</c:v>
                </c:pt>
                <c:pt idx="180">
                  <c:v>1499</c:v>
                </c:pt>
                <c:pt idx="181">
                  <c:v>4796.8</c:v>
                </c:pt>
                <c:pt idx="182">
                  <c:v>798.40000000000009</c:v>
                </c:pt>
                <c:pt idx="183">
                  <c:v>998</c:v>
                </c:pt>
                <c:pt idx="184">
                  <c:v>499</c:v>
                </c:pt>
                <c:pt idx="186">
                  <c:v>1999</c:v>
                </c:pt>
                <c:pt idx="187">
                  <c:v>499</c:v>
                </c:pt>
                <c:pt idx="189">
                  <c:v>424.15</c:v>
                </c:pt>
                <c:pt idx="190">
                  <c:v>2547.4499999999998</c:v>
                </c:pt>
                <c:pt idx="191">
                  <c:v>1499</c:v>
                </c:pt>
                <c:pt idx="192">
                  <c:v>474.05</c:v>
                </c:pt>
                <c:pt idx="193">
                  <c:v>159.19999999999999</c:v>
                </c:pt>
                <c:pt idx="194">
                  <c:v>3597.6</c:v>
                </c:pt>
                <c:pt idx="195">
                  <c:v>4497</c:v>
                </c:pt>
                <c:pt idx="196">
                  <c:v>998</c:v>
                </c:pt>
                <c:pt idx="197">
                  <c:v>3798.1</c:v>
                </c:pt>
                <c:pt idx="198">
                  <c:v>807.30000000000007</c:v>
                </c:pt>
                <c:pt idx="199">
                  <c:v>0</c:v>
                </c:pt>
                <c:pt idx="200">
                  <c:v>998</c:v>
                </c:pt>
                <c:pt idx="201">
                  <c:v>5996</c:v>
                </c:pt>
                <c:pt idx="202">
                  <c:v>597</c:v>
                </c:pt>
                <c:pt idx="203">
                  <c:v>2398.4</c:v>
                </c:pt>
                <c:pt idx="204">
                  <c:v>9995</c:v>
                </c:pt>
                <c:pt idx="205">
                  <c:v>796</c:v>
                </c:pt>
                <c:pt idx="207">
                  <c:v>2397.6</c:v>
                </c:pt>
                <c:pt idx="208">
                  <c:v>4047.3</c:v>
                </c:pt>
                <c:pt idx="209">
                  <c:v>898.2</c:v>
                </c:pt>
                <c:pt idx="211">
                  <c:v>1598.4</c:v>
                </c:pt>
                <c:pt idx="212">
                  <c:v>1347.3</c:v>
                </c:pt>
                <c:pt idx="213">
                  <c:v>598</c:v>
                </c:pt>
                <c:pt idx="214">
                  <c:v>1796.4</c:v>
                </c:pt>
                <c:pt idx="215">
                  <c:v>537.30000000000007</c:v>
                </c:pt>
                <c:pt idx="216">
                  <c:v>159.19999999999999</c:v>
                </c:pt>
                <c:pt idx="217">
                  <c:v>897</c:v>
                </c:pt>
                <c:pt idx="219">
                  <c:v>2997</c:v>
                </c:pt>
                <c:pt idx="220">
                  <c:v>1272.45</c:v>
                </c:pt>
                <c:pt idx="221">
                  <c:v>179.1</c:v>
                </c:pt>
                <c:pt idx="223">
                  <c:v>239.2</c:v>
                </c:pt>
                <c:pt idx="224">
                  <c:v>1599.2</c:v>
                </c:pt>
                <c:pt idx="225">
                  <c:v>2398.4</c:v>
                </c:pt>
                <c:pt idx="226">
                  <c:v>3398.3</c:v>
                </c:pt>
                <c:pt idx="228">
                  <c:v>398</c:v>
                </c:pt>
                <c:pt idx="229">
                  <c:v>478.4</c:v>
                </c:pt>
                <c:pt idx="230">
                  <c:v>1422.15</c:v>
                </c:pt>
                <c:pt idx="231">
                  <c:v>1699.15</c:v>
                </c:pt>
                <c:pt idx="233">
                  <c:v>2397.6</c:v>
                </c:pt>
                <c:pt idx="234">
                  <c:v>796</c:v>
                </c:pt>
                <c:pt idx="235">
                  <c:v>179.1</c:v>
                </c:pt>
                <c:pt idx="236">
                  <c:v>998</c:v>
                </c:pt>
                <c:pt idx="237">
                  <c:v>2998</c:v>
                </c:pt>
                <c:pt idx="239">
                  <c:v>0</c:v>
                </c:pt>
                <c:pt idx="240">
                  <c:v>338.3</c:v>
                </c:pt>
                <c:pt idx="242">
                  <c:v>378.1</c:v>
                </c:pt>
                <c:pt idx="243">
                  <c:v>1898.1</c:v>
                </c:pt>
                <c:pt idx="244">
                  <c:v>254.15</c:v>
                </c:pt>
                <c:pt idx="246">
                  <c:v>0</c:v>
                </c:pt>
                <c:pt idx="247">
                  <c:v>2547.4499999999998</c:v>
                </c:pt>
                <c:pt idx="249">
                  <c:v>239.2</c:v>
                </c:pt>
                <c:pt idx="250">
                  <c:v>807.30000000000007</c:v>
                </c:pt>
                <c:pt idx="252">
                  <c:v>849.15</c:v>
                </c:pt>
                <c:pt idx="253">
                  <c:v>1996</c:v>
                </c:pt>
                <c:pt idx="255">
                  <c:v>2547.4499999999998</c:v>
                </c:pt>
                <c:pt idx="258">
                  <c:v>199</c:v>
                </c:pt>
                <c:pt idx="259">
                  <c:v>949.05</c:v>
                </c:pt>
                <c:pt idx="260">
                  <c:v>399.2</c:v>
                </c:pt>
                <c:pt idx="261">
                  <c:v>3998</c:v>
                </c:pt>
                <c:pt idx="262">
                  <c:v>378.1</c:v>
                </c:pt>
                <c:pt idx="264">
                  <c:v>1799.1</c:v>
                </c:pt>
                <c:pt idx="265">
                  <c:v>2698.2</c:v>
                </c:pt>
                <c:pt idx="266">
                  <c:v>6396.8</c:v>
                </c:pt>
                <c:pt idx="269">
                  <c:v>3796.2</c:v>
                </c:pt>
                <c:pt idx="270">
                  <c:v>899.1</c:v>
                </c:pt>
                <c:pt idx="271">
                  <c:v>796</c:v>
                </c:pt>
                <c:pt idx="272">
                  <c:v>1497</c:v>
                </c:pt>
                <c:pt idx="273">
                  <c:v>597</c:v>
                </c:pt>
                <c:pt idx="274">
                  <c:v>508.3</c:v>
                </c:pt>
                <c:pt idx="276">
                  <c:v>3398.3</c:v>
                </c:pt>
                <c:pt idx="277">
                  <c:v>2998</c:v>
                </c:pt>
                <c:pt idx="280">
                  <c:v>378.1</c:v>
                </c:pt>
                <c:pt idx="281">
                  <c:v>3597.6</c:v>
                </c:pt>
                <c:pt idx="282">
                  <c:v>1499</c:v>
                </c:pt>
                <c:pt idx="283">
                  <c:v>1349.1</c:v>
                </c:pt>
                <c:pt idx="284">
                  <c:v>796</c:v>
                </c:pt>
                <c:pt idx="286">
                  <c:v>0</c:v>
                </c:pt>
                <c:pt idx="287">
                  <c:v>999</c:v>
                </c:pt>
                <c:pt idx="288">
                  <c:v>999</c:v>
                </c:pt>
                <c:pt idx="290">
                  <c:v>4047.3</c:v>
                </c:pt>
                <c:pt idx="292">
                  <c:v>597</c:v>
                </c:pt>
                <c:pt idx="293">
                  <c:v>318.39999999999998</c:v>
                </c:pt>
                <c:pt idx="294">
                  <c:v>378.1</c:v>
                </c:pt>
                <c:pt idx="295">
                  <c:v>717.6</c:v>
                </c:pt>
                <c:pt idx="296">
                  <c:v>799.2</c:v>
                </c:pt>
                <c:pt idx="297">
                  <c:v>7996</c:v>
                </c:pt>
                <c:pt idx="298">
                  <c:v>5996</c:v>
                </c:pt>
                <c:pt idx="299">
                  <c:v>998</c:v>
                </c:pt>
                <c:pt idx="301">
                  <c:v>5996</c:v>
                </c:pt>
                <c:pt idx="302">
                  <c:v>1272.45</c:v>
                </c:pt>
                <c:pt idx="303">
                  <c:v>239.2</c:v>
                </c:pt>
                <c:pt idx="304">
                  <c:v>398</c:v>
                </c:pt>
                <c:pt idx="305">
                  <c:v>538.20000000000005</c:v>
                </c:pt>
                <c:pt idx="306">
                  <c:v>284.05</c:v>
                </c:pt>
                <c:pt idx="307">
                  <c:v>1699.15</c:v>
                </c:pt>
                <c:pt idx="309">
                  <c:v>1599.2</c:v>
                </c:pt>
                <c:pt idx="310">
                  <c:v>2997</c:v>
                </c:pt>
                <c:pt idx="311">
                  <c:v>1996</c:v>
                </c:pt>
                <c:pt idx="312">
                  <c:v>796</c:v>
                </c:pt>
                <c:pt idx="313">
                  <c:v>1899.05</c:v>
                </c:pt>
                <c:pt idx="314">
                  <c:v>1996</c:v>
                </c:pt>
                <c:pt idx="315">
                  <c:v>0</c:v>
                </c:pt>
                <c:pt idx="316">
                  <c:v>0</c:v>
                </c:pt>
                <c:pt idx="317">
                  <c:v>4272.1499999999996</c:v>
                </c:pt>
                <c:pt idx="318">
                  <c:v>3598.2</c:v>
                </c:pt>
                <c:pt idx="319">
                  <c:v>1798.2</c:v>
                </c:pt>
                <c:pt idx="320">
                  <c:v>5097.45</c:v>
                </c:pt>
                <c:pt idx="321">
                  <c:v>1274.1500000000001</c:v>
                </c:pt>
                <c:pt idx="322">
                  <c:v>499</c:v>
                </c:pt>
                <c:pt idx="323">
                  <c:v>898.2</c:v>
                </c:pt>
                <c:pt idx="324">
                  <c:v>5696.2</c:v>
                </c:pt>
                <c:pt idx="325">
                  <c:v>807.30000000000007</c:v>
                </c:pt>
                <c:pt idx="326">
                  <c:v>999</c:v>
                </c:pt>
                <c:pt idx="328">
                  <c:v>169.15</c:v>
                </c:pt>
                <c:pt idx="329">
                  <c:v>424.15</c:v>
                </c:pt>
                <c:pt idx="330">
                  <c:v>796</c:v>
                </c:pt>
                <c:pt idx="332">
                  <c:v>1699.15</c:v>
                </c:pt>
                <c:pt idx="333">
                  <c:v>477.6</c:v>
                </c:pt>
                <c:pt idx="335">
                  <c:v>3597.6</c:v>
                </c:pt>
                <c:pt idx="336">
                  <c:v>299</c:v>
                </c:pt>
                <c:pt idx="337">
                  <c:v>499</c:v>
                </c:pt>
                <c:pt idx="339">
                  <c:v>179.1</c:v>
                </c:pt>
                <c:pt idx="340">
                  <c:v>1197.5999999999999</c:v>
                </c:pt>
                <c:pt idx="341">
                  <c:v>1136.2</c:v>
                </c:pt>
                <c:pt idx="342">
                  <c:v>3822.45</c:v>
                </c:pt>
                <c:pt idx="343">
                  <c:v>7596.2</c:v>
                </c:pt>
                <c:pt idx="344">
                  <c:v>848.3</c:v>
                </c:pt>
                <c:pt idx="345">
                  <c:v>5397.3</c:v>
                </c:pt>
                <c:pt idx="347">
                  <c:v>538.20000000000005</c:v>
                </c:pt>
                <c:pt idx="348">
                  <c:v>398</c:v>
                </c:pt>
                <c:pt idx="349">
                  <c:v>269.10000000000002</c:v>
                </c:pt>
                <c:pt idx="350">
                  <c:v>598</c:v>
                </c:pt>
                <c:pt idx="352">
                  <c:v>299</c:v>
                </c:pt>
                <c:pt idx="353">
                  <c:v>239.2</c:v>
                </c:pt>
                <c:pt idx="354">
                  <c:v>948.09999999999991</c:v>
                </c:pt>
                <c:pt idx="355">
                  <c:v>676.6</c:v>
                </c:pt>
                <c:pt idx="356">
                  <c:v>1272.45</c:v>
                </c:pt>
                <c:pt idx="357">
                  <c:v>1497</c:v>
                </c:pt>
                <c:pt idx="359">
                  <c:v>1272.45</c:v>
                </c:pt>
                <c:pt idx="360">
                  <c:v>1998</c:v>
                </c:pt>
                <c:pt idx="361">
                  <c:v>3196.8</c:v>
                </c:pt>
                <c:pt idx="362">
                  <c:v>5697.15</c:v>
                </c:pt>
                <c:pt idx="364">
                  <c:v>1999</c:v>
                </c:pt>
                <c:pt idx="365">
                  <c:v>0</c:v>
                </c:pt>
                <c:pt idx="366">
                  <c:v>2698.2</c:v>
                </c:pt>
                <c:pt idx="367">
                  <c:v>179.1</c:v>
                </c:pt>
                <c:pt idx="368">
                  <c:v>477.6</c:v>
                </c:pt>
                <c:pt idx="369">
                  <c:v>848.3</c:v>
                </c:pt>
                <c:pt idx="370">
                  <c:v>474.05</c:v>
                </c:pt>
                <c:pt idx="371">
                  <c:v>1349.1</c:v>
                </c:pt>
                <c:pt idx="372">
                  <c:v>499</c:v>
                </c:pt>
                <c:pt idx="373">
                  <c:v>796</c:v>
                </c:pt>
                <c:pt idx="374">
                  <c:v>1799.1</c:v>
                </c:pt>
                <c:pt idx="375">
                  <c:v>807.30000000000007</c:v>
                </c:pt>
                <c:pt idx="376">
                  <c:v>3796.2</c:v>
                </c:pt>
                <c:pt idx="377">
                  <c:v>807.30000000000007</c:v>
                </c:pt>
                <c:pt idx="378">
                  <c:v>1136.2</c:v>
                </c:pt>
                <c:pt idx="379">
                  <c:v>398</c:v>
                </c:pt>
                <c:pt idx="381">
                  <c:v>1199.2</c:v>
                </c:pt>
                <c:pt idx="383">
                  <c:v>1497</c:v>
                </c:pt>
                <c:pt idx="385">
                  <c:v>6396.8</c:v>
                </c:pt>
                <c:pt idx="386">
                  <c:v>949.05</c:v>
                </c:pt>
                <c:pt idx="387">
                  <c:v>399.2</c:v>
                </c:pt>
                <c:pt idx="388">
                  <c:v>1196</c:v>
                </c:pt>
                <c:pt idx="389">
                  <c:v>949.05</c:v>
                </c:pt>
                <c:pt idx="390">
                  <c:v>1696.6</c:v>
                </c:pt>
                <c:pt idx="391">
                  <c:v>4796.8</c:v>
                </c:pt>
                <c:pt idx="392">
                  <c:v>2698.2</c:v>
                </c:pt>
                <c:pt idx="393">
                  <c:v>2998</c:v>
                </c:pt>
                <c:pt idx="394">
                  <c:v>2548.3000000000002</c:v>
                </c:pt>
                <c:pt idx="395">
                  <c:v>284.05</c:v>
                </c:pt>
                <c:pt idx="397">
                  <c:v>998</c:v>
                </c:pt>
                <c:pt idx="398">
                  <c:v>1196</c:v>
                </c:pt>
                <c:pt idx="399">
                  <c:v>1199.2</c:v>
                </c:pt>
                <c:pt idx="402">
                  <c:v>0</c:v>
                </c:pt>
                <c:pt idx="403">
                  <c:v>0</c:v>
                </c:pt>
                <c:pt idx="404">
                  <c:v>5997</c:v>
                </c:pt>
                <c:pt idx="405">
                  <c:v>2397.6</c:v>
                </c:pt>
                <c:pt idx="406">
                  <c:v>3996</c:v>
                </c:pt>
                <c:pt idx="407">
                  <c:v>1274.1500000000001</c:v>
                </c:pt>
                <c:pt idx="408">
                  <c:v>0</c:v>
                </c:pt>
                <c:pt idx="409">
                  <c:v>318.39999999999998</c:v>
                </c:pt>
                <c:pt idx="410">
                  <c:v>998</c:v>
                </c:pt>
                <c:pt idx="411">
                  <c:v>998</c:v>
                </c:pt>
                <c:pt idx="414">
                  <c:v>7996</c:v>
                </c:pt>
                <c:pt idx="415">
                  <c:v>1196</c:v>
                </c:pt>
                <c:pt idx="416">
                  <c:v>3198.4</c:v>
                </c:pt>
                <c:pt idx="417">
                  <c:v>538.20000000000005</c:v>
                </c:pt>
                <c:pt idx="418">
                  <c:v>1798.2</c:v>
                </c:pt>
                <c:pt idx="420">
                  <c:v>284.05</c:v>
                </c:pt>
                <c:pt idx="422">
                  <c:v>399.2</c:v>
                </c:pt>
                <c:pt idx="424">
                  <c:v>1896.2</c:v>
                </c:pt>
                <c:pt idx="425">
                  <c:v>796</c:v>
                </c:pt>
                <c:pt idx="426">
                  <c:v>159.19999999999999</c:v>
                </c:pt>
                <c:pt idx="428">
                  <c:v>3822.45</c:v>
                </c:pt>
                <c:pt idx="429">
                  <c:v>0</c:v>
                </c:pt>
                <c:pt idx="430">
                  <c:v>254.15</c:v>
                </c:pt>
                <c:pt idx="431">
                  <c:v>899.1</c:v>
                </c:pt>
                <c:pt idx="432">
                  <c:v>424.15</c:v>
                </c:pt>
                <c:pt idx="435">
                  <c:v>1696.6</c:v>
                </c:pt>
                <c:pt idx="436">
                  <c:v>2398.4</c:v>
                </c:pt>
                <c:pt idx="437">
                  <c:v>179.1</c:v>
                </c:pt>
                <c:pt idx="438">
                  <c:v>2398.4</c:v>
                </c:pt>
                <c:pt idx="439">
                  <c:v>284.05</c:v>
                </c:pt>
                <c:pt idx="440">
                  <c:v>898.2</c:v>
                </c:pt>
                <c:pt idx="441">
                  <c:v>2120.75</c:v>
                </c:pt>
                <c:pt idx="443">
                  <c:v>717.6</c:v>
                </c:pt>
                <c:pt idx="444">
                  <c:v>199</c:v>
                </c:pt>
                <c:pt idx="445">
                  <c:v>0</c:v>
                </c:pt>
                <c:pt idx="446">
                  <c:v>424.15</c:v>
                </c:pt>
                <c:pt idx="447">
                  <c:v>1422.15</c:v>
                </c:pt>
                <c:pt idx="449">
                  <c:v>1998</c:v>
                </c:pt>
                <c:pt idx="450">
                  <c:v>567.15</c:v>
                </c:pt>
                <c:pt idx="451">
                  <c:v>2698.2</c:v>
                </c:pt>
                <c:pt idx="452">
                  <c:v>239.2</c:v>
                </c:pt>
                <c:pt idx="453">
                  <c:v>399.2</c:v>
                </c:pt>
                <c:pt idx="454">
                  <c:v>2120.75</c:v>
                </c:pt>
                <c:pt idx="455">
                  <c:v>3597.6</c:v>
                </c:pt>
                <c:pt idx="456">
                  <c:v>398</c:v>
                </c:pt>
                <c:pt idx="457">
                  <c:v>0</c:v>
                </c:pt>
                <c:pt idx="459">
                  <c:v>597</c:v>
                </c:pt>
                <c:pt idx="460">
                  <c:v>2698.2</c:v>
                </c:pt>
                <c:pt idx="462">
                  <c:v>799.2</c:v>
                </c:pt>
                <c:pt idx="463">
                  <c:v>568.1</c:v>
                </c:pt>
                <c:pt idx="464">
                  <c:v>1347.3</c:v>
                </c:pt>
                <c:pt idx="465">
                  <c:v>199</c:v>
                </c:pt>
                <c:pt idx="467">
                  <c:v>762.44999999999993</c:v>
                </c:pt>
                <c:pt idx="468">
                  <c:v>5997</c:v>
                </c:pt>
                <c:pt idx="469">
                  <c:v>159.19999999999999</c:v>
                </c:pt>
                <c:pt idx="470">
                  <c:v>199</c:v>
                </c:pt>
                <c:pt idx="471">
                  <c:v>538.20000000000005</c:v>
                </c:pt>
                <c:pt idx="473">
                  <c:v>1599.2</c:v>
                </c:pt>
                <c:pt idx="474">
                  <c:v>2998</c:v>
                </c:pt>
                <c:pt idx="476">
                  <c:v>999</c:v>
                </c:pt>
                <c:pt idx="477">
                  <c:v>1497</c:v>
                </c:pt>
                <c:pt idx="478">
                  <c:v>284.05</c:v>
                </c:pt>
                <c:pt idx="480">
                  <c:v>3998</c:v>
                </c:pt>
                <c:pt idx="481">
                  <c:v>299</c:v>
                </c:pt>
                <c:pt idx="482">
                  <c:v>538.20000000000005</c:v>
                </c:pt>
                <c:pt idx="484">
                  <c:v>1896.2</c:v>
                </c:pt>
                <c:pt idx="485">
                  <c:v>2547.4499999999998</c:v>
                </c:pt>
                <c:pt idx="486">
                  <c:v>507.45</c:v>
                </c:pt>
                <c:pt idx="487">
                  <c:v>169.15</c:v>
                </c:pt>
                <c:pt idx="488">
                  <c:v>299</c:v>
                </c:pt>
                <c:pt idx="489">
                  <c:v>474.05</c:v>
                </c:pt>
                <c:pt idx="490">
                  <c:v>5097.45</c:v>
                </c:pt>
                <c:pt idx="491">
                  <c:v>7996</c:v>
                </c:pt>
                <c:pt idx="492">
                  <c:v>2698.2</c:v>
                </c:pt>
                <c:pt idx="494">
                  <c:v>1497</c:v>
                </c:pt>
                <c:pt idx="495">
                  <c:v>1796.4</c:v>
                </c:pt>
                <c:pt idx="498">
                  <c:v>1799.1</c:v>
                </c:pt>
                <c:pt idx="499">
                  <c:v>1899.05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497536"/>
        <c:axId val="212499072"/>
      </c:scatterChart>
      <c:valAx>
        <c:axId val="212497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2499072"/>
        <c:crosses val="autoZero"/>
        <c:crossBetween val="midCat"/>
      </c:valAx>
      <c:valAx>
        <c:axId val="212499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49753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analysis.xlsx]Sheet1!PivotTable1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revenue</a:t>
            </a:r>
            <a:r>
              <a:rPr lang="en-IN" baseline="0"/>
              <a:t> by categoery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Beauty</c:v>
                </c:pt>
              </c:strCache>
            </c:strRef>
          </c:tx>
          <c:invertIfNegative val="0"/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127646.15000000002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Electronics</c:v>
                </c:pt>
              </c:strCache>
            </c:strRef>
          </c:tx>
          <c:invertIfNegative val="0"/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Sheet1!$C$5</c:f>
              <c:numCache>
                <c:formatCode>General</c:formatCode>
                <c:ptCount val="1"/>
                <c:pt idx="0">
                  <c:v>163629.25000000009</c:v>
                </c:pt>
              </c:numCache>
            </c:numRef>
          </c:val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Fashion</c:v>
                </c:pt>
              </c:strCache>
            </c:strRef>
          </c:tx>
          <c:invertIfNegative val="0"/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Sheet1!$D$5</c:f>
              <c:numCache>
                <c:formatCode>General</c:formatCode>
                <c:ptCount val="1"/>
                <c:pt idx="0">
                  <c:v>136503.85000000003</c:v>
                </c:pt>
              </c:numCache>
            </c:numRef>
          </c:val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Home</c:v>
                </c:pt>
              </c:strCache>
            </c:strRef>
          </c:tx>
          <c:invertIfNegative val="0"/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Sheet1!$E$5</c:f>
              <c:numCache>
                <c:formatCode>General</c:formatCode>
                <c:ptCount val="1"/>
                <c:pt idx="0">
                  <c:v>126171.99999999996</c:v>
                </c:pt>
              </c:numCache>
            </c:numRef>
          </c:val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Sports</c:v>
                </c:pt>
              </c:strCache>
            </c:strRef>
          </c:tx>
          <c:invertIfNegative val="0"/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Sheet1!$F$5</c:f>
              <c:numCache>
                <c:formatCode>General</c:formatCode>
                <c:ptCount val="1"/>
                <c:pt idx="0">
                  <c:v>147431.29999999999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785536"/>
        <c:axId val="222787072"/>
      </c:barChart>
      <c:catAx>
        <c:axId val="222785536"/>
        <c:scaling>
          <c:orientation val="minMax"/>
        </c:scaling>
        <c:delete val="0"/>
        <c:axPos val="b"/>
        <c:majorTickMark val="out"/>
        <c:minorTickMark val="none"/>
        <c:tickLblPos val="nextTo"/>
        <c:crossAx val="222787072"/>
        <c:crossesAt val="0.5"/>
        <c:auto val="1"/>
        <c:lblAlgn val="ctr"/>
        <c:lblOffset val="100"/>
        <c:noMultiLvlLbl val="0"/>
      </c:catAx>
      <c:valAx>
        <c:axId val="222787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78553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revenue</a:t>
            </a:r>
            <a:r>
              <a:rPr lang="en-IN" baseline="0"/>
              <a:t> distribution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'raw data'!$T$15:$T$22</c:f>
              <c:numCache>
                <c:formatCode>General</c:formatCode>
                <c:ptCount val="8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3000</c:v>
                </c:pt>
                <c:pt idx="5">
                  <c:v>5000</c:v>
                </c:pt>
                <c:pt idx="6">
                  <c:v>8000</c:v>
                </c:pt>
                <c:pt idx="7">
                  <c:v>12000</c:v>
                </c:pt>
              </c:numCache>
            </c:numRef>
          </c:val>
        </c:ser>
        <c:ser>
          <c:idx val="1"/>
          <c:order val="1"/>
          <c:invertIfNegative val="0"/>
          <c:val>
            <c:numRef>
              <c:f>'raw data'!$U$15:$U$22</c:f>
              <c:numCache>
                <c:formatCode>General</c:formatCode>
                <c:ptCount val="8"/>
                <c:pt idx="0">
                  <c:v>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803840"/>
        <c:axId val="222805376"/>
      </c:barChart>
      <c:catAx>
        <c:axId val="222803840"/>
        <c:scaling>
          <c:orientation val="minMax"/>
        </c:scaling>
        <c:delete val="0"/>
        <c:axPos val="b"/>
        <c:majorTickMark val="out"/>
        <c:minorTickMark val="none"/>
        <c:tickLblPos val="nextTo"/>
        <c:crossAx val="222805376"/>
        <c:crosses val="autoZero"/>
        <c:auto val="1"/>
        <c:lblAlgn val="ctr"/>
        <c:lblOffset val="100"/>
        <c:noMultiLvlLbl val="0"/>
      </c:catAx>
      <c:valAx>
        <c:axId val="222805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ln w="0"/>
        </c:spPr>
        <c:crossAx val="2228038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analysis.xlsx]Sheet2!PivotTable1</c:name>
    <c:fmtId val="8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Discounted</a:t>
            </a:r>
            <a:r>
              <a:rPr lang="en-US" baseline="0"/>
              <a:t> vs non discounted orders</a:t>
            </a:r>
            <a:endParaRPr lang="en-US"/>
          </a:p>
        </c:rich>
      </c:tx>
      <c:layout>
        <c:manualLayout>
          <c:xMode val="edge"/>
          <c:yMode val="edge"/>
          <c:x val="9.0173665791776034E-2"/>
          <c:y val="0.10546077573636629"/>
        </c:manualLayout>
      </c:layout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3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Sheet2!$A$4:$A$7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170</c:v>
                </c:pt>
                <c:pt idx="1">
                  <c:v>330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egendEntry>
        <c:idx val="2"/>
        <c:delete val="1"/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[ecommerce sales analysis.xlsx]Sheet3!PivotTable2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revenue by month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25</c:v>
                </c:pt>
                <c:pt idx="1">
                  <c:v>40</c:v>
                </c:pt>
                <c:pt idx="2">
                  <c:v>20</c:v>
                </c:pt>
                <c:pt idx="3">
                  <c:v>45</c:v>
                </c:pt>
                <c:pt idx="4">
                  <c:v>37</c:v>
                </c:pt>
                <c:pt idx="5">
                  <c:v>38</c:v>
                </c:pt>
                <c:pt idx="6">
                  <c:v>29</c:v>
                </c:pt>
                <c:pt idx="7">
                  <c:v>41</c:v>
                </c:pt>
                <c:pt idx="8">
                  <c:v>35</c:v>
                </c:pt>
                <c:pt idx="9">
                  <c:v>36</c:v>
                </c:pt>
                <c:pt idx="10">
                  <c:v>32</c:v>
                </c:pt>
                <c:pt idx="11">
                  <c:v>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1697024"/>
        <c:axId val="231720448"/>
      </c:lineChart>
      <c:catAx>
        <c:axId val="231697024"/>
        <c:scaling>
          <c:orientation val="minMax"/>
        </c:scaling>
        <c:delete val="0"/>
        <c:axPos val="b"/>
        <c:majorTickMark val="none"/>
        <c:minorTickMark val="none"/>
        <c:tickLblPos val="nextTo"/>
        <c:crossAx val="231720448"/>
        <c:crosses val="autoZero"/>
        <c:auto val="1"/>
        <c:lblAlgn val="ctr"/>
        <c:lblOffset val="100"/>
        <c:noMultiLvlLbl val="0"/>
      </c:catAx>
      <c:valAx>
        <c:axId val="231720448"/>
        <c:scaling>
          <c:orientation val="minMax"/>
        </c:scaling>
        <c:delete val="0"/>
        <c:axPos val="l"/>
        <c:majorGridlines/>
        <c:title>
          <c:layout/>
          <c:overlay val="0"/>
        </c:title>
        <c:numFmt formatCode="General" sourceLinked="1"/>
        <c:majorTickMark val="none"/>
        <c:minorTickMark val="none"/>
        <c:tickLblPos val="nextTo"/>
        <c:crossAx val="2316970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4</xdr:row>
      <xdr:rowOff>114300</xdr:rowOff>
    </xdr:from>
    <xdr:to>
      <xdr:col>6</xdr:col>
      <xdr:colOff>266706</xdr:colOff>
      <xdr:row>19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930275</xdr:colOff>
      <xdr:row>4</xdr:row>
      <xdr:rowOff>155575</xdr:rowOff>
    </xdr:from>
    <xdr:to>
      <xdr:col>9</xdr:col>
      <xdr:colOff>257175</xdr:colOff>
      <xdr:row>19</xdr:row>
      <xdr:rowOff>136525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358775</xdr:colOff>
      <xdr:row>4</xdr:row>
      <xdr:rowOff>41275</xdr:rowOff>
    </xdr:from>
    <xdr:to>
      <xdr:col>10</xdr:col>
      <xdr:colOff>53975</xdr:colOff>
      <xdr:row>19</xdr:row>
      <xdr:rowOff>22225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396875</xdr:colOff>
      <xdr:row>19</xdr:row>
      <xdr:rowOff>15875</xdr:rowOff>
    </xdr:from>
    <xdr:to>
      <xdr:col>25</xdr:col>
      <xdr:colOff>142875</xdr:colOff>
      <xdr:row>33</xdr:row>
      <xdr:rowOff>92075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174625</xdr:colOff>
      <xdr:row>38</xdr:row>
      <xdr:rowOff>47625</xdr:rowOff>
    </xdr:from>
    <xdr:to>
      <xdr:col>7</xdr:col>
      <xdr:colOff>1127125</xdr:colOff>
      <xdr:row>52</xdr:row>
      <xdr:rowOff>123825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1952625</xdr:colOff>
      <xdr:row>19</xdr:row>
      <xdr:rowOff>47625</xdr:rowOff>
    </xdr:from>
    <xdr:to>
      <xdr:col>15</xdr:col>
      <xdr:colOff>212725</xdr:colOff>
      <xdr:row>33</xdr:row>
      <xdr:rowOff>123825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</xdr:colOff>
      <xdr:row>17</xdr:row>
      <xdr:rowOff>158750</xdr:rowOff>
    </xdr:from>
    <xdr:to>
      <xdr:col>7</xdr:col>
      <xdr:colOff>1000125</xdr:colOff>
      <xdr:row>32</xdr:row>
      <xdr:rowOff>44450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428625</xdr:colOff>
      <xdr:row>38</xdr:row>
      <xdr:rowOff>158750</xdr:rowOff>
    </xdr:from>
    <xdr:to>
      <xdr:col>15</xdr:col>
      <xdr:colOff>15875</xdr:colOff>
      <xdr:row>53</xdr:row>
      <xdr:rowOff>44450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285750</xdr:colOff>
      <xdr:row>39</xdr:row>
      <xdr:rowOff>47625</xdr:rowOff>
    </xdr:from>
    <xdr:to>
      <xdr:col>25</xdr:col>
      <xdr:colOff>31750</xdr:colOff>
      <xdr:row>53</xdr:row>
      <xdr:rowOff>123825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RJUN .V" refreshedDate="46013.473893981478" createdVersion="4" refreshedVersion="4" minRefreshableVersion="3" recordCount="501">
  <cacheSource type="worksheet">
    <worksheetSource ref="A1:P1048576" sheet="raw data"/>
  </cacheSource>
  <cacheFields count="16">
    <cacheField name="Order_ID" numFmtId="0">
      <sharedItems containsBlank="1" count="501">
        <s v="O10000"/>
        <s v="O10001"/>
        <s v="O10002"/>
        <s v="O10003"/>
        <s v="O10004"/>
        <s v="O10005"/>
        <s v="O10006"/>
        <s v="O10007"/>
        <s v="O10008"/>
        <s v="O10009"/>
        <s v="O10010"/>
        <s v="O10011"/>
        <s v="O10012"/>
        <s v="O10013"/>
        <s v="O10014"/>
        <s v="O10015"/>
        <s v="O10016"/>
        <s v="O10017"/>
        <s v="O10018"/>
        <s v="O10019"/>
        <s v="O10020"/>
        <s v="O10021"/>
        <s v="O10022"/>
        <s v="O10023"/>
        <s v="O10024"/>
        <s v="O10025"/>
        <s v="O10026"/>
        <s v="O10027"/>
        <s v="O10028"/>
        <s v="O10029"/>
        <s v="O10030"/>
        <s v="O10031"/>
        <s v="O10032"/>
        <s v="O10033"/>
        <s v="O10034"/>
        <s v="O10035"/>
        <s v="O10036"/>
        <s v="O10037"/>
        <s v="O10038"/>
        <s v="O10039"/>
        <s v="O10040"/>
        <s v="O10041"/>
        <s v="O10042"/>
        <s v="O10043"/>
        <s v="O10044"/>
        <s v="O10045"/>
        <s v="O10046"/>
        <s v="O10047"/>
        <s v="O10048"/>
        <s v="O10049"/>
        <s v="O10050"/>
        <s v="O10051"/>
        <s v="O10052"/>
        <s v="O10053"/>
        <s v="O10054"/>
        <s v="O10055"/>
        <s v="O10056"/>
        <s v="O10057"/>
        <s v="O10058"/>
        <s v="O10059"/>
        <s v="O10060"/>
        <s v="O10061"/>
        <s v="O10062"/>
        <s v="O10063"/>
        <s v="O10064"/>
        <s v="O10065"/>
        <s v="O10066"/>
        <s v="O10067"/>
        <s v="O10068"/>
        <s v="O10069"/>
        <s v="O10070"/>
        <s v="O10071"/>
        <s v="O10072"/>
        <s v="O10073"/>
        <s v="O10074"/>
        <s v="O10075"/>
        <s v="O10076"/>
        <s v="O10077"/>
        <s v="O10078"/>
        <s v="O10079"/>
        <s v="O10080"/>
        <s v="O10081"/>
        <s v="O10082"/>
        <s v="O10083"/>
        <s v="O10084"/>
        <s v="O10085"/>
        <s v="O10086"/>
        <s v="O10087"/>
        <s v="O10088"/>
        <s v="O10089"/>
        <s v="O10090"/>
        <s v="O10091"/>
        <s v="O10092"/>
        <s v="O10093"/>
        <s v="O10094"/>
        <s v="O10095"/>
        <s v="O10096"/>
        <s v="O10097"/>
        <s v="O10098"/>
        <s v="O10099"/>
        <s v="O10100"/>
        <s v="O10101"/>
        <s v="O10102"/>
        <s v="O10103"/>
        <s v="O10104"/>
        <s v="O10105"/>
        <s v="O10106"/>
        <s v="O10107"/>
        <s v="O10108"/>
        <s v="O10109"/>
        <s v="O10110"/>
        <s v="O10111"/>
        <s v="O10112"/>
        <s v="O10113"/>
        <s v="O10114"/>
        <s v="O10115"/>
        <s v="O10116"/>
        <s v="O10117"/>
        <s v="O10118"/>
        <s v="O10119"/>
        <s v="O10120"/>
        <s v="O10121"/>
        <s v="O10122"/>
        <s v="O10123"/>
        <s v="O10124"/>
        <s v="O10125"/>
        <s v="O10126"/>
        <s v="O10127"/>
        <s v="O10128"/>
        <s v="O10129"/>
        <s v="O10130"/>
        <s v="O10131"/>
        <s v="O10132"/>
        <s v="O10133"/>
        <s v="O10134"/>
        <s v="O10135"/>
        <s v="O10136"/>
        <s v="O10137"/>
        <s v="O10138"/>
        <s v="O10139"/>
        <s v="O10140"/>
        <s v="O10141"/>
        <s v="O10142"/>
        <s v="O10143"/>
        <s v="O10144"/>
        <s v="O10145"/>
        <s v="O10146"/>
        <s v="O10147"/>
        <s v="O10148"/>
        <s v="O10149"/>
        <s v="O10150"/>
        <s v="O10151"/>
        <s v="O10152"/>
        <s v="O10153"/>
        <s v="O10154"/>
        <s v="O10155"/>
        <s v="O10156"/>
        <s v="O10157"/>
        <s v="O10158"/>
        <s v="O10159"/>
        <s v="O10160"/>
        <s v="O10161"/>
        <s v="O10162"/>
        <s v="O10163"/>
        <s v="O10164"/>
        <s v="O10165"/>
        <s v="O10166"/>
        <s v="O10167"/>
        <s v="O10168"/>
        <s v="O10169"/>
        <s v="O10170"/>
        <s v="O10171"/>
        <s v="O10172"/>
        <s v="O10173"/>
        <s v="O10174"/>
        <s v="O10175"/>
        <s v="O10176"/>
        <s v="O10177"/>
        <s v="O10178"/>
        <s v="O10179"/>
        <s v="O10180"/>
        <s v="O10181"/>
        <s v="O10182"/>
        <s v="O10183"/>
        <s v="O10184"/>
        <s v="O10185"/>
        <s v="O10186"/>
        <s v="O10187"/>
        <s v="O10188"/>
        <s v="O10189"/>
        <s v="O10190"/>
        <s v="O10191"/>
        <s v="O10192"/>
        <s v="O10193"/>
        <s v="O10194"/>
        <s v="O10195"/>
        <s v="O10196"/>
        <s v="O10197"/>
        <s v="O10198"/>
        <s v="O10199"/>
        <s v="O10200"/>
        <s v="O10201"/>
        <s v="O10202"/>
        <s v="O10203"/>
        <s v="O10204"/>
        <s v="O10205"/>
        <s v="O10206"/>
        <s v="O10207"/>
        <s v="O10208"/>
        <s v="O10209"/>
        <s v="O10210"/>
        <s v="O10211"/>
        <s v="O10212"/>
        <s v="O10213"/>
        <s v="O10214"/>
        <s v="O10215"/>
        <s v="O10216"/>
        <s v="O10217"/>
        <s v="O10218"/>
        <s v="O10219"/>
        <s v="O10220"/>
        <s v="O10221"/>
        <s v="O10222"/>
        <s v="O10223"/>
        <s v="O10224"/>
        <s v="O10225"/>
        <s v="O10226"/>
        <s v="O10227"/>
        <s v="O10228"/>
        <s v="O10229"/>
        <s v="O10230"/>
        <s v="O10231"/>
        <s v="O10232"/>
        <s v="O10233"/>
        <s v="O10234"/>
        <s v="O10235"/>
        <s v="O10236"/>
        <s v="O10237"/>
        <s v="O10238"/>
        <s v="O10239"/>
        <s v="O10240"/>
        <s v="O10241"/>
        <s v="O10242"/>
        <s v="O10243"/>
        <s v="O10244"/>
        <s v="O10245"/>
        <s v="O10246"/>
        <s v="O10247"/>
        <s v="O10248"/>
        <s v="O10249"/>
        <s v="O10250"/>
        <s v="O10251"/>
        <s v="O10252"/>
        <s v="O10253"/>
        <s v="O10254"/>
        <s v="O10255"/>
        <s v="O10256"/>
        <s v="O10257"/>
        <s v="O10258"/>
        <s v="O10259"/>
        <s v="O10260"/>
        <s v="O10261"/>
        <s v="O10262"/>
        <s v="O10263"/>
        <s v="O10264"/>
        <s v="O10265"/>
        <s v="O10266"/>
        <s v="O10267"/>
        <s v="O10268"/>
        <s v="O10269"/>
        <s v="O10270"/>
        <s v="O10271"/>
        <s v="O10272"/>
        <s v="O10273"/>
        <s v="O10274"/>
        <s v="O10275"/>
        <s v="O10276"/>
        <s v="O10277"/>
        <s v="O10278"/>
        <s v="O10279"/>
        <s v="O10280"/>
        <s v="O10281"/>
        <s v="O10282"/>
        <s v="O10283"/>
        <s v="O10284"/>
        <s v="O10285"/>
        <s v="O10286"/>
        <s v="O10287"/>
        <s v="O10288"/>
        <s v="O10289"/>
        <s v="O10290"/>
        <s v="O10291"/>
        <s v="O10292"/>
        <s v="O10293"/>
        <s v="O10294"/>
        <s v="O10295"/>
        <s v="O10296"/>
        <s v="O10297"/>
        <s v="O10298"/>
        <s v="O10299"/>
        <s v="O10300"/>
        <s v="O10301"/>
        <s v="O10302"/>
        <s v="O10303"/>
        <s v="O10304"/>
        <s v="O10305"/>
        <s v="O10306"/>
        <s v="O10307"/>
        <s v="O10308"/>
        <s v="O10309"/>
        <s v="O10310"/>
        <s v="O10311"/>
        <s v="O10312"/>
        <s v="O10313"/>
        <s v="O10314"/>
        <s v="O10315"/>
        <s v="O10316"/>
        <s v="O10317"/>
        <s v="O10318"/>
        <s v="O10319"/>
        <s v="O10320"/>
        <s v="O10321"/>
        <s v="O10322"/>
        <s v="O10323"/>
        <s v="O10324"/>
        <s v="O10325"/>
        <s v="O10326"/>
        <s v="O10327"/>
        <s v="O10328"/>
        <s v="O10329"/>
        <s v="O10330"/>
        <s v="O10331"/>
        <s v="O10332"/>
        <s v="O10333"/>
        <s v="O10334"/>
        <s v="O10335"/>
        <s v="O10336"/>
        <s v="O10337"/>
        <s v="O10338"/>
        <s v="O10339"/>
        <s v="O10340"/>
        <s v="O10341"/>
        <s v="O10342"/>
        <s v="O10343"/>
        <s v="O10344"/>
        <s v="O10345"/>
        <s v="O10346"/>
        <s v="O10347"/>
        <s v="O10348"/>
        <s v="O10349"/>
        <s v="O10350"/>
        <s v="O10351"/>
        <s v="O10352"/>
        <s v="O10353"/>
        <s v="O10354"/>
        <s v="O10355"/>
        <s v="O10356"/>
        <s v="O10357"/>
        <s v="O10358"/>
        <s v="O10359"/>
        <s v="O10360"/>
        <s v="O10361"/>
        <s v="O10362"/>
        <s v="O10363"/>
        <s v="O10364"/>
        <s v="O10365"/>
        <s v="O10366"/>
        <s v="O10367"/>
        <s v="O10368"/>
        <s v="O10369"/>
        <s v="O10370"/>
        <s v="O10371"/>
        <s v="O10372"/>
        <s v="O10373"/>
        <s v="O10374"/>
        <s v="O10375"/>
        <s v="O10376"/>
        <s v="O10377"/>
        <s v="O10378"/>
        <s v="O10379"/>
        <s v="O10380"/>
        <s v="O10381"/>
        <s v="O10382"/>
        <s v="O10383"/>
        <s v="O10384"/>
        <s v="O10385"/>
        <s v="O10386"/>
        <s v="O10387"/>
        <s v="O10388"/>
        <s v="O10389"/>
        <s v="O10390"/>
        <s v="O10391"/>
        <s v="O10392"/>
        <s v="O10393"/>
        <s v="O10394"/>
        <s v="O10395"/>
        <s v="O10396"/>
        <s v="O10397"/>
        <s v="O10398"/>
        <s v="O10399"/>
        <s v="O10400"/>
        <s v="O10401"/>
        <s v="O10402"/>
        <s v="O10403"/>
        <s v="O10404"/>
        <s v="O10405"/>
        <s v="O10406"/>
        <s v="O10407"/>
        <s v="O10408"/>
        <s v="O10409"/>
        <s v="O10410"/>
        <s v="O10411"/>
        <s v="O10412"/>
        <s v="O10413"/>
        <s v="O10414"/>
        <s v="O10415"/>
        <s v="O10416"/>
        <s v="O10417"/>
        <s v="O10418"/>
        <s v="O10419"/>
        <s v="O10420"/>
        <s v="O10421"/>
        <s v="O10422"/>
        <s v="O10423"/>
        <s v="O10424"/>
        <s v="O10425"/>
        <s v="O10426"/>
        <s v="O10427"/>
        <s v="O10428"/>
        <s v="O10429"/>
        <s v="O10430"/>
        <s v="O10431"/>
        <s v="O10432"/>
        <s v="O10433"/>
        <s v="O10434"/>
        <s v="O10435"/>
        <s v="O10436"/>
        <s v="O10437"/>
        <s v="O10438"/>
        <s v="O10439"/>
        <s v="O10440"/>
        <s v="O10441"/>
        <s v="O10442"/>
        <s v="O10443"/>
        <s v="O10444"/>
        <s v="O10445"/>
        <s v="O10446"/>
        <s v="O10447"/>
        <s v="O10448"/>
        <s v="O10449"/>
        <s v="O10450"/>
        <s v="O10451"/>
        <s v="O10452"/>
        <s v="O10453"/>
        <s v="O10454"/>
        <s v="O10455"/>
        <s v="O10456"/>
        <s v="O10457"/>
        <s v="O10458"/>
        <s v="O10459"/>
        <s v="O10460"/>
        <s v="O10461"/>
        <s v="O10462"/>
        <s v="O10463"/>
        <s v="O10464"/>
        <s v="O10465"/>
        <s v="O10466"/>
        <s v="O10467"/>
        <s v="O10468"/>
        <s v="O10469"/>
        <s v="O10470"/>
        <s v="O10471"/>
        <s v="O10472"/>
        <s v="O10473"/>
        <s v="O10474"/>
        <s v="O10475"/>
        <s v="O10476"/>
        <s v="O10477"/>
        <s v="O10478"/>
        <s v="O10479"/>
        <s v="O10480"/>
        <s v="O10481"/>
        <s v="O10482"/>
        <s v="O10483"/>
        <s v="O10484"/>
        <s v="O10485"/>
        <s v="O10486"/>
        <s v="O10487"/>
        <s v="O10488"/>
        <s v="O10489"/>
        <s v="O10490"/>
        <s v="O10491"/>
        <s v="O10492"/>
        <s v="O10493"/>
        <s v="O10494"/>
        <s v="O10495"/>
        <s v="O10496"/>
        <s v="O10497"/>
        <s v="O10498"/>
        <s v="O10499"/>
        <m/>
      </sharedItems>
    </cacheField>
    <cacheField name="Order_Date" numFmtId="0">
      <sharedItems containsNonDate="0" containsDate="1" containsString="0" containsBlank="1" minDate="2023-01-01T00:00:00" maxDate="2024-01-01T00:00:00" count="268">
        <d v="2023-04-13T00:00:00"/>
        <d v="2023-12-15T00:00:00"/>
        <d v="2023-09-28T00:00:00"/>
        <d v="2023-04-17T00:00:00"/>
        <d v="2023-03-13T00:00:00"/>
        <d v="2023-07-08T00:00:00"/>
        <d v="2023-01-21T00:00:00"/>
        <d v="2023-05-02T00:00:00"/>
        <d v="2023-08-03T00:00:00"/>
        <d v="2023-11-27T00:00:00"/>
        <d v="2023-03-29T00:00:00"/>
        <d v="2023-04-10T00:00:00"/>
        <d v="2023-12-26T00:00:00"/>
        <d v="2023-06-01T00:00:00"/>
        <d v="2023-05-11T00:00:00"/>
        <d v="2023-05-30T00:00:00"/>
        <d v="2023-11-05T00:00:00"/>
        <d v="2023-09-15T00:00:00"/>
        <d v="2023-12-10T00:00:00"/>
        <d v="2023-10-21T00:00:00"/>
        <d v="2023-07-11T00:00:00"/>
        <d v="2023-10-04T00:00:00"/>
        <d v="2023-06-10T00:00:00"/>
        <d v="2023-11-10T00:00:00"/>
        <d v="2023-01-22T00:00:00"/>
        <d v="2023-09-10T00:00:00"/>
        <d v="2023-08-24T00:00:00"/>
        <d v="2023-12-11T00:00:00"/>
        <d v="2023-02-18T00:00:00"/>
        <d v="2023-02-28T00:00:00"/>
        <d v="2023-06-19T00:00:00"/>
        <d v="2023-07-07T00:00:00"/>
        <d v="2023-07-09T00:00:00"/>
        <d v="2023-06-24T00:00:00"/>
        <d v="2023-02-20T00:00:00"/>
        <d v="2023-12-30T00:00:00"/>
        <d v="2023-02-24T00:00:00"/>
        <d v="2023-09-01T00:00:00"/>
        <d v="2023-11-16T00:00:00"/>
        <d v="2023-11-03T00:00:00"/>
        <d v="2023-05-15T00:00:00"/>
        <d v="2023-11-25T00:00:00"/>
        <d v="2023-06-16T00:00:00"/>
        <d v="2023-10-01T00:00:00"/>
        <d v="2023-03-30T00:00:00"/>
        <d v="2023-11-12T00:00:00"/>
        <d v="2023-01-14T00:00:00"/>
        <d v="2023-08-30T00:00:00"/>
        <d v="2023-09-22T00:00:00"/>
        <d v="2023-12-12T00:00:00"/>
        <d v="2023-02-22T00:00:00"/>
        <d v="2023-12-06T00:00:00"/>
        <d v="2023-04-02T00:00:00"/>
        <d v="2023-09-21T00:00:00"/>
        <d v="2023-02-04T00:00:00"/>
        <d v="2023-07-25T00:00:00"/>
        <d v="2023-03-22T00:00:00"/>
        <d v="2023-02-19T00:00:00"/>
        <d v="2023-01-02T00:00:00"/>
        <d v="2023-02-23T00:00:00"/>
        <d v="2023-04-16T00:00:00"/>
        <d v="2023-09-17T00:00:00"/>
        <d v="2023-11-06T00:00:00"/>
        <d v="2023-07-10T00:00:00"/>
        <d v="2023-08-06T00:00:00"/>
        <d v="2023-02-13T00:00:00"/>
        <d v="2023-06-11T00:00:00"/>
        <d v="2023-07-21T00:00:00"/>
        <d v="2023-09-27T00:00:00"/>
        <d v="2023-12-17T00:00:00"/>
        <d v="2023-10-31T00:00:00"/>
        <d v="2023-09-09T00:00:00"/>
        <d v="2023-10-23T00:00:00"/>
        <d v="2023-08-01T00:00:00"/>
        <d v="2023-07-27T00:00:00"/>
        <d v="2023-08-25T00:00:00"/>
        <d v="2023-12-04T00:00:00"/>
        <d v="2023-10-07T00:00:00"/>
        <d v="2023-08-05T00:00:00"/>
        <d v="2023-02-10T00:00:00"/>
        <d v="2023-06-06T00:00:00"/>
        <d v="2023-01-15T00:00:00"/>
        <d v="2023-10-28T00:00:00"/>
        <d v="2023-03-06T00:00:00"/>
        <d v="2023-11-23T00:00:00"/>
        <d v="2023-01-09T00:00:00"/>
        <d v="2023-05-09T00:00:00"/>
        <d v="2023-05-16T00:00:00"/>
        <d v="2023-03-04T00:00:00"/>
        <d v="2023-05-19T00:00:00"/>
        <d v="2023-06-12T00:00:00"/>
        <d v="2023-10-16T00:00:00"/>
        <d v="2023-09-18T00:00:00"/>
        <d v="2023-08-19T00:00:00"/>
        <d v="2023-01-28T00:00:00"/>
        <d v="2023-07-20T00:00:00"/>
        <d v="2023-11-24T00:00:00"/>
        <d v="2023-09-25T00:00:00"/>
        <d v="2023-02-02T00:00:00"/>
        <d v="2023-02-17T00:00:00"/>
        <d v="2023-03-03T00:00:00"/>
        <d v="2023-08-04T00:00:00"/>
        <d v="2023-10-20T00:00:00"/>
        <d v="2023-04-09T00:00:00"/>
        <d v="2023-06-21T00:00:00"/>
        <d v="2023-08-02T00:00:00"/>
        <d v="2023-08-15T00:00:00"/>
        <d v="2023-04-11T00:00:00"/>
        <d v="2023-09-14T00:00:00"/>
        <d v="2023-01-05T00:00:00"/>
        <d v="2023-09-12T00:00:00"/>
        <d v="2023-12-25T00:00:00"/>
        <d v="2023-10-10T00:00:00"/>
        <d v="2023-07-26T00:00:00"/>
        <d v="2023-02-11T00:00:00"/>
        <d v="2023-06-28T00:00:00"/>
        <d v="2023-12-18T00:00:00"/>
        <d v="2023-08-29T00:00:00"/>
        <d v="2023-02-21T00:00:00"/>
        <d v="2023-04-06T00:00:00"/>
        <d v="2023-08-10T00:00:00"/>
        <d v="2023-05-23T00:00:00"/>
        <d v="2023-06-20T00:00:00"/>
        <d v="2023-01-29T00:00:00"/>
        <d v="2023-02-05T00:00:00"/>
        <d v="2023-01-13T00:00:00"/>
        <d v="2023-06-09T00:00:00"/>
        <d v="2023-07-06T00:00:00"/>
        <d v="2023-08-31T00:00:00"/>
        <d v="2023-03-27T00:00:00"/>
        <d v="2023-10-11T00:00:00"/>
        <d v="2023-03-07T00:00:00"/>
        <d v="2023-02-14T00:00:00"/>
        <d v="2023-05-14T00:00:00"/>
        <d v="2023-04-18T00:00:00"/>
        <d v="2023-10-13T00:00:00"/>
        <d v="2023-05-08T00:00:00"/>
        <d v="2023-12-14T00:00:00"/>
        <d v="2023-08-13T00:00:00"/>
        <d v="2023-05-01T00:00:00"/>
        <d v="2023-04-26T00:00:00"/>
        <d v="2023-08-21T00:00:00"/>
        <d v="2023-09-16T00:00:00"/>
        <d v="2023-07-17T00:00:00"/>
        <d v="2023-05-17T00:00:00"/>
        <d v="2023-11-14T00:00:00"/>
        <d v="2023-06-14T00:00:00"/>
        <d v="2023-08-22T00:00:00"/>
        <d v="2023-11-11T00:00:00"/>
        <d v="2023-06-29T00:00:00"/>
        <d v="2023-04-23T00:00:00"/>
        <d v="2023-10-22T00:00:00"/>
        <d v="2023-05-10T00:00:00"/>
        <d v="2023-08-08T00:00:00"/>
        <d v="2023-12-09T00:00:00"/>
        <d v="2023-08-12T00:00:00"/>
        <d v="2023-05-06T00:00:00"/>
        <d v="2023-09-04T00:00:00"/>
        <d v="2023-11-20T00:00:00"/>
        <d v="2023-07-22T00:00:00"/>
        <d v="2023-07-03T00:00:00"/>
        <d v="2023-05-03T00:00:00"/>
        <d v="2023-11-21T00:00:00"/>
        <d v="2023-04-08T00:00:00"/>
        <d v="2023-08-28T00:00:00"/>
        <d v="2023-05-24T00:00:00"/>
        <d v="2023-04-07T00:00:00"/>
        <d v="2023-05-04T00:00:00"/>
        <d v="2023-11-22T00:00:00"/>
        <d v="2023-05-28T00:00:00"/>
        <d v="2023-05-27T00:00:00"/>
        <d v="2023-07-18T00:00:00"/>
        <d v="2023-11-04T00:00:00"/>
        <d v="2023-02-08T00:00:00"/>
        <d v="2023-09-24T00:00:00"/>
        <d v="2023-05-31T00:00:00"/>
        <d v="2023-10-25T00:00:00"/>
        <d v="2023-09-20T00:00:00"/>
        <d v="2023-04-22T00:00:00"/>
        <d v="2023-03-01T00:00:00"/>
        <d v="2023-09-11T00:00:00"/>
        <d v="2023-05-20T00:00:00"/>
        <d v="2023-02-06T00:00:00"/>
        <d v="2023-04-30T00:00:00"/>
        <d v="2023-03-16T00:00:00"/>
        <d v="2023-04-14T00:00:00"/>
        <d v="2023-06-02T00:00:00"/>
        <d v="2023-07-13T00:00:00"/>
        <d v="2023-06-18T00:00:00"/>
        <d v="2023-03-09T00:00:00"/>
        <d v="2023-07-14T00:00:00"/>
        <d v="2023-06-25T00:00:00"/>
        <d v="2023-08-26T00:00:00"/>
        <d v="2023-06-07T00:00:00"/>
        <d v="2023-02-07T00:00:00"/>
        <d v="2023-08-18T00:00:00"/>
        <d v="2023-12-31T00:00:00"/>
        <d v="2023-01-27T00:00:00"/>
        <d v="2023-08-14T00:00:00"/>
        <d v="2023-11-13T00:00:00"/>
        <d v="2023-01-04T00:00:00"/>
        <d v="2023-01-17T00:00:00"/>
        <d v="2023-02-15T00:00:00"/>
        <d v="2023-01-06T00:00:00"/>
        <d v="2023-10-29T00:00:00"/>
        <d v="2023-06-30T00:00:00"/>
        <d v="2023-04-05T00:00:00"/>
        <d v="2023-09-13T00:00:00"/>
        <d v="2023-11-19T00:00:00"/>
        <d v="2023-01-18T00:00:00"/>
        <d v="2023-10-08T00:00:00"/>
        <d v="2023-08-11T00:00:00"/>
        <d v="2023-02-27T00:00:00"/>
        <d v="2023-06-23T00:00:00"/>
        <d v="2023-04-24T00:00:00"/>
        <d v="2023-10-15T00:00:00"/>
        <d v="2023-12-08T00:00:00"/>
        <d v="2023-05-07T00:00:00"/>
        <d v="2023-06-04T00:00:00"/>
        <d v="2023-09-30T00:00:00"/>
        <d v="2023-10-26T00:00:00"/>
        <d v="2023-09-03T00:00:00"/>
        <d v="2023-01-26T00:00:00"/>
        <d v="2023-12-21T00:00:00"/>
        <d v="2023-11-02T00:00:00"/>
        <d v="2023-11-09T00:00:00"/>
        <d v="2023-06-22T00:00:00"/>
        <d v="2023-01-20T00:00:00"/>
        <d v="2023-11-17T00:00:00"/>
        <d v="2023-05-22T00:00:00"/>
        <d v="2023-12-20T00:00:00"/>
        <d v="2023-11-18T00:00:00"/>
        <d v="2023-07-05T00:00:00"/>
        <d v="2023-05-05T00:00:00"/>
        <d v="2023-11-01T00:00:00"/>
        <d v="2023-07-15T00:00:00"/>
        <d v="2023-09-19T00:00:00"/>
        <d v="2023-12-16T00:00:00"/>
        <d v="2023-02-16T00:00:00"/>
        <d v="2023-11-07T00:00:00"/>
        <d v="2023-09-26T00:00:00"/>
        <d v="2023-05-25T00:00:00"/>
        <d v="2023-11-15T00:00:00"/>
        <d v="2023-10-02T00:00:00"/>
        <d v="2023-08-17T00:00:00"/>
        <d v="2023-04-27T00:00:00"/>
        <d v="2023-10-06T00:00:00"/>
        <d v="2023-01-01T00:00:00"/>
        <d v="2023-08-27T00:00:00"/>
        <d v="2023-10-17T00:00:00"/>
        <d v="2023-04-28T00:00:00"/>
        <d v="2023-09-29T00:00:00"/>
        <d v="2023-03-10T00:00:00"/>
        <d v="2023-10-05T00:00:00"/>
        <d v="2023-03-17T00:00:00"/>
        <d v="2023-06-03T00:00:00"/>
        <d v="2023-07-04T00:00:00"/>
        <d v="2023-10-12T00:00:00"/>
        <d v="2023-04-04T00:00:00"/>
        <d v="2023-07-23T00:00:00"/>
        <d v="2023-12-07T00:00:00"/>
        <d v="2023-12-23T00:00:00"/>
        <d v="2023-01-23T00:00:00"/>
        <d v="2023-09-07T00:00:00"/>
        <d v="2023-01-10T00:00:00"/>
        <d v="2023-01-16T00:00:00"/>
        <d v="2023-12-02T00:00:00"/>
        <m/>
      </sharedItems>
      <fieldGroup base="1">
        <rangePr groupBy="months" startDate="2023-01-01T00:00:00" endDate="2024-01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  <cacheField name="Customer_ID" numFmtId="0">
      <sharedItems containsBlank="1"/>
    </cacheField>
    <cacheField name="Category" numFmtId="0">
      <sharedItems containsBlank="1" count="6">
        <s v="Home"/>
        <s v="Beauty"/>
        <s v="Electronics"/>
        <s v="Fashion"/>
        <s v="Sports"/>
        <m/>
      </sharedItems>
    </cacheField>
    <cacheField name="Product" numFmtId="0">
      <sharedItems containsBlank="1"/>
    </cacheField>
    <cacheField name="Quantity" numFmtId="0">
      <sharedItems containsString="0" containsBlank="1" containsNumber="1" containsInteger="1" minValue="0" maxValue="5"/>
    </cacheField>
    <cacheField name="Price" numFmtId="0">
      <sharedItems containsString="0" containsBlank="1" containsNumber="1" containsInteger="1" minValue="199" maxValue="1999"/>
    </cacheField>
    <cacheField name="Discount" numFmtId="0">
      <sharedItems containsString="0" containsBlank="1" containsNumber="1" containsInteger="1" minValue="0" maxValue="20" count="6">
        <n v="10"/>
        <n v="15"/>
        <n v="5"/>
        <n v="0"/>
        <m/>
        <n v="20"/>
      </sharedItems>
    </cacheField>
    <cacheField name="Revenue" numFmtId="0">
      <sharedItems containsString="0" containsBlank="1" containsNumber="1" minValue="0" maxValue="9995" count="122">
        <n v="358.2"/>
        <m/>
        <n v="1696.6"/>
        <n v="1497"/>
        <n v="2998"/>
        <n v="716.4"/>
        <n v="507.45"/>
        <n v="318.39999999999998"/>
        <n v="0"/>
        <n v="1499"/>
        <n v="1349.1"/>
        <n v="179.1"/>
        <n v="899.1"/>
        <n v="499"/>
        <n v="897"/>
        <n v="3398.3"/>
        <n v="3198.4"/>
        <n v="4497"/>
        <n v="1798.2"/>
        <n v="1799.1"/>
        <n v="1698.3"/>
        <n v="998"/>
        <n v="199"/>
        <n v="1424.05"/>
        <n v="299"/>
        <n v="995"/>
        <n v="2997"/>
        <n v="999"/>
        <n v="4047.3"/>
        <n v="949.05"/>
        <n v="3822.45"/>
        <n v="798.40000000000009"/>
        <n v="1796.4"/>
        <n v="7996"/>
        <n v="1699.15"/>
        <n v="4245.75"/>
        <n v="1495"/>
        <n v="3196.8"/>
        <n v="477.6"/>
        <n v="5097.45"/>
        <n v="398"/>
        <n v="5096.5999999999995"/>
        <n v="1196"/>
        <n v="399.2"/>
        <n v="449.1"/>
        <n v="9995"/>
        <n v="2548.3000000000002"/>
        <n v="189.05"/>
        <n v="1598.4"/>
        <n v="5997"/>
        <n v="3998"/>
        <n v="5697.15"/>
        <n v="1596.8"/>
        <n v="478.4"/>
        <n v="956.80000000000007"/>
        <n v="8995.5"/>
        <n v="1016.6"/>
        <n v="2398.4"/>
        <n v="1347.3"/>
        <n v="3798.1"/>
        <n v="1999"/>
        <n v="598"/>
        <n v="169.15"/>
        <n v="799.2"/>
        <n v="2697.3"/>
        <n v="338.3"/>
        <n v="807.30000000000007"/>
        <n v="269.10000000000002"/>
        <n v="1420.25"/>
        <n v="5996"/>
        <n v="2847.15"/>
        <n v="3396.6"/>
        <n v="597"/>
        <n v="898.2"/>
        <n v="6745.5"/>
        <n v="676.6"/>
        <n v="1422.15"/>
        <n v="4797.6000000000004"/>
        <n v="636.80000000000007"/>
        <n v="4796.8"/>
        <n v="424.15"/>
        <n v="2547.4499999999998"/>
        <n v="474.05"/>
        <n v="159.19999999999999"/>
        <n v="3597.6"/>
        <n v="796"/>
        <n v="2397.6"/>
        <n v="537.30000000000007"/>
        <n v="1272.45"/>
        <n v="239.2"/>
        <n v="1599.2"/>
        <n v="378.1"/>
        <n v="1898.1"/>
        <n v="254.15"/>
        <n v="849.15"/>
        <n v="1996"/>
        <n v="2698.2"/>
        <n v="6396.8"/>
        <n v="3796.2"/>
        <n v="508.3"/>
        <n v="717.6"/>
        <n v="538.20000000000005"/>
        <n v="284.05"/>
        <n v="1899.05"/>
        <n v="4272.1499999999996"/>
        <n v="3598.2"/>
        <n v="1274.1500000000001"/>
        <n v="5696.2"/>
        <n v="1197.5999999999999"/>
        <n v="1136.2"/>
        <n v="7596.2"/>
        <n v="848.3"/>
        <n v="5397.3"/>
        <n v="948.09999999999991"/>
        <n v="1998"/>
        <n v="1199.2"/>
        <n v="3996"/>
        <n v="1896.2"/>
        <n v="2120.75"/>
        <n v="567.15"/>
        <n v="568.1"/>
        <n v="762.44999999999993"/>
      </sharedItems>
    </cacheField>
    <cacheField name="high value order" numFmtId="0">
      <sharedItems containsBlank="1"/>
    </cacheField>
    <cacheField name="Discounted orders" numFmtId="0">
      <sharedItems containsBlank="1" count="3">
        <s v="yes"/>
        <s v="no"/>
        <m/>
      </sharedItems>
    </cacheField>
    <cacheField name="Repeated customer" numFmtId="0">
      <sharedItems containsBlank="1"/>
    </cacheField>
    <cacheField name="High discount orders" numFmtId="0">
      <sharedItems containsBlank="1"/>
    </cacheField>
    <cacheField name="Vip customers" numFmtId="0">
      <sharedItems containsBlank="1"/>
    </cacheField>
    <cacheField name="customer total revenue" numFmtId="0">
      <sharedItems containsString="0" containsBlank="1" containsNumber="1" minValue="0" maxValue="17212.349999999999"/>
    </cacheField>
    <cacheField name="outliner 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1">
  <r>
    <x v="0"/>
    <x v="0"/>
    <s v="C101"/>
    <x v="0"/>
    <s v="P59"/>
    <n v="2"/>
    <n v="199"/>
    <x v="0"/>
    <x v="0"/>
    <s v="no"/>
    <x v="0"/>
    <s v="Yes"/>
    <s v="no"/>
    <s v="No"/>
    <n v="3914.8"/>
    <s v="Normal"/>
  </r>
  <r>
    <x v="1"/>
    <x v="1"/>
    <s v="C191"/>
    <x v="1"/>
    <s v="P37"/>
    <n v="2"/>
    <n v="199"/>
    <x v="1"/>
    <x v="0"/>
    <s v="no"/>
    <x v="0"/>
    <s v="Yes"/>
    <s v="no"/>
    <s v="No"/>
    <n v="7282.8"/>
    <s v="Normal"/>
  </r>
  <r>
    <x v="2"/>
    <x v="2"/>
    <s v="C131"/>
    <x v="2"/>
    <s v="P61"/>
    <n v="2"/>
    <n v="299"/>
    <x v="2"/>
    <x v="0"/>
    <s v="no"/>
    <x v="0"/>
    <s v="Yes"/>
    <s v="no"/>
    <s v="No"/>
    <n v="3556.6"/>
    <s v="Normal"/>
  </r>
  <r>
    <x v="3"/>
    <x v="3"/>
    <s v="C190"/>
    <x v="0"/>
    <s v="P43"/>
    <n v="3"/>
    <m/>
    <x v="3"/>
    <x v="0"/>
    <s v="no"/>
    <x v="1"/>
    <s v="No"/>
    <s v="no"/>
    <s v="No"/>
    <n v="358.2"/>
    <s v="Normal"/>
  </r>
  <r>
    <x v="4"/>
    <x v="4"/>
    <s v="C183"/>
    <x v="2"/>
    <s v="P70"/>
    <n v="1"/>
    <n v="199"/>
    <x v="4"/>
    <x v="0"/>
    <s v="no"/>
    <x v="1"/>
    <s v="No"/>
    <s v="no"/>
    <s v="No"/>
    <n v="358.2"/>
    <s v="Normal"/>
  </r>
  <r>
    <x v="5"/>
    <x v="5"/>
    <s v="C123"/>
    <x v="3"/>
    <s v="P39"/>
    <n v="2"/>
    <n v="999"/>
    <x v="5"/>
    <x v="0"/>
    <s v="no"/>
    <x v="0"/>
    <s v="Yes"/>
    <s v="yes"/>
    <s v="No"/>
    <n v="756.2"/>
    <s v="Normal"/>
  </r>
  <r>
    <x v="6"/>
    <x v="6"/>
    <s v="C111"/>
    <x v="0"/>
    <s v="P56"/>
    <n v="3"/>
    <n v="1499"/>
    <x v="0"/>
    <x v="0"/>
    <s v="no"/>
    <x v="0"/>
    <s v="Yes"/>
    <s v="no"/>
    <s v="No"/>
    <n v="1782.25"/>
    <s v="Normal"/>
  </r>
  <r>
    <x v="7"/>
    <x v="0"/>
    <s v="C149"/>
    <x v="3"/>
    <s v="P63"/>
    <n v="5"/>
    <n v="1999"/>
    <x v="3"/>
    <x v="0"/>
    <s v="no"/>
    <x v="1"/>
    <s v="Yes"/>
    <s v="no"/>
    <s v="No"/>
    <n v="3914.8"/>
    <s v="Normal"/>
  </r>
  <r>
    <x v="8"/>
    <x v="7"/>
    <s v="C134"/>
    <x v="0"/>
    <s v="P46"/>
    <n v="1"/>
    <n v="299"/>
    <x v="5"/>
    <x v="0"/>
    <s v="no"/>
    <x v="0"/>
    <s v="Yes"/>
    <s v="yes"/>
    <s v="No"/>
    <n v="358.2"/>
    <s v="Normal"/>
  </r>
  <r>
    <x v="9"/>
    <x v="8"/>
    <s v="C132"/>
    <x v="4"/>
    <s v="P88"/>
    <n v="2"/>
    <n v="299"/>
    <x v="5"/>
    <x v="0"/>
    <s v="no"/>
    <x v="0"/>
    <s v="Yes"/>
    <s v="yes"/>
    <s v="No"/>
    <n v="4252.3999999999996"/>
    <s v="Normal"/>
  </r>
  <r>
    <x v="10"/>
    <x v="9"/>
    <s v="C132"/>
    <x v="1"/>
    <s v="P11"/>
    <n v="2"/>
    <n v="199"/>
    <x v="4"/>
    <x v="0"/>
    <s v="no"/>
    <x v="1"/>
    <s v="Yes"/>
    <s v="no"/>
    <s v="No"/>
    <n v="1780.3500000000001"/>
    <s v="Normal"/>
  </r>
  <r>
    <x v="11"/>
    <x v="10"/>
    <s v="C160"/>
    <x v="4"/>
    <s v="P62"/>
    <n v="3"/>
    <m/>
    <x v="1"/>
    <x v="0"/>
    <s v="no"/>
    <x v="0"/>
    <s v="No"/>
    <s v="no"/>
    <s v="No"/>
    <n v="358.2"/>
    <s v="Normal"/>
  </r>
  <r>
    <x v="12"/>
    <x v="11"/>
    <s v="C150"/>
    <x v="3"/>
    <s v="P77"/>
    <n v="2"/>
    <n v="999"/>
    <x v="4"/>
    <x v="0"/>
    <s v="no"/>
    <x v="1"/>
    <s v="Yes"/>
    <s v="no"/>
    <s v="No"/>
    <n v="2024.3500000000001"/>
    <s v="Normal"/>
  </r>
  <r>
    <x v="13"/>
    <x v="12"/>
    <s v="C142"/>
    <x v="1"/>
    <s v="P98"/>
    <n v="2"/>
    <m/>
    <x v="1"/>
    <x v="1"/>
    <s v="no"/>
    <x v="0"/>
    <s v="Yes"/>
    <s v="no"/>
    <s v="No"/>
    <n v="11794.1"/>
    <s v="Normal"/>
  </r>
  <r>
    <x v="14"/>
    <x v="13"/>
    <s v="C111"/>
    <x v="0"/>
    <s v="P25"/>
    <n v="4"/>
    <n v="499"/>
    <x v="1"/>
    <x v="2"/>
    <s v="yes"/>
    <x v="0"/>
    <s v="Yes"/>
    <s v="no"/>
    <s v="Yes"/>
    <n v="5519.05"/>
    <s v="Normal"/>
  </r>
  <r>
    <x v="15"/>
    <x v="14"/>
    <s v="C166"/>
    <x v="1"/>
    <s v="P71"/>
    <n v="3"/>
    <n v="499"/>
    <x v="3"/>
    <x v="3"/>
    <s v="yes"/>
    <x v="1"/>
    <s v="Yes"/>
    <s v="no"/>
    <s v="Yes"/>
    <n v="2495"/>
    <s v="Normal"/>
  </r>
  <r>
    <x v="16"/>
    <x v="15"/>
    <s v="C164"/>
    <x v="2"/>
    <s v="P52"/>
    <n v="2"/>
    <n v="1499"/>
    <x v="3"/>
    <x v="4"/>
    <s v="yes"/>
    <x v="1"/>
    <s v="Yes"/>
    <s v="no"/>
    <s v="Yes"/>
    <n v="2998"/>
    <s v="Normal"/>
  </r>
  <r>
    <x v="17"/>
    <x v="16"/>
    <s v="C132"/>
    <x v="1"/>
    <s v="P4"/>
    <n v="4"/>
    <n v="199"/>
    <x v="0"/>
    <x v="5"/>
    <s v="no"/>
    <x v="0"/>
    <s v="No"/>
    <s v="no"/>
    <s v="No"/>
    <n v="716.4"/>
    <s v="Normal"/>
  </r>
  <r>
    <x v="18"/>
    <x v="17"/>
    <s v="C139"/>
    <x v="2"/>
    <s v="P59"/>
    <n v="3"/>
    <n v="199"/>
    <x v="1"/>
    <x v="6"/>
    <s v="no"/>
    <x v="0"/>
    <s v="No"/>
    <s v="no"/>
    <s v="No"/>
    <n v="507.45"/>
    <s v="Normal"/>
  </r>
  <r>
    <x v="19"/>
    <x v="18"/>
    <s v="C173"/>
    <x v="1"/>
    <s v="P72"/>
    <n v="2"/>
    <n v="199"/>
    <x v="5"/>
    <x v="7"/>
    <s v="no"/>
    <x v="0"/>
    <s v="Yes"/>
    <s v="yes"/>
    <s v="No"/>
    <n v="4815.3999999999996"/>
    <s v="Normal"/>
  </r>
  <r>
    <x v="20"/>
    <x v="19"/>
    <s v="C142"/>
    <x v="2"/>
    <s v="P20"/>
    <n v="0"/>
    <n v="1499"/>
    <x v="2"/>
    <x v="8"/>
    <s v="no"/>
    <x v="0"/>
    <s v="Yes"/>
    <s v="no"/>
    <s v="No"/>
    <n v="3398.3"/>
    <s v="Normal"/>
  </r>
  <r>
    <x v="21"/>
    <x v="20"/>
    <s v="C143"/>
    <x v="3"/>
    <s v="P93"/>
    <m/>
    <n v="499"/>
    <x v="0"/>
    <x v="1"/>
    <s v="no"/>
    <x v="0"/>
    <s v="Yes"/>
    <s v="no"/>
    <s v="No"/>
    <n v="0"/>
    <s v="Normal"/>
  </r>
  <r>
    <x v="22"/>
    <x v="21"/>
    <s v="C128"/>
    <x v="4"/>
    <s v="P63"/>
    <n v="1"/>
    <m/>
    <x v="3"/>
    <x v="1"/>
    <s v="no"/>
    <x v="1"/>
    <s v="Yes"/>
    <s v="no"/>
    <s v="No"/>
    <n v="3598.2"/>
    <s v="Normal"/>
  </r>
  <r>
    <x v="23"/>
    <x v="22"/>
    <s v="C112"/>
    <x v="0"/>
    <s v="P54"/>
    <n v="1"/>
    <n v="1499"/>
    <x v="4"/>
    <x v="9"/>
    <s v="yes"/>
    <x v="1"/>
    <s v="Yes"/>
    <s v="no"/>
    <s v="Yes"/>
    <n v="9893"/>
    <s v="Normal"/>
  </r>
  <r>
    <x v="24"/>
    <x v="23"/>
    <s v="C111"/>
    <x v="1"/>
    <s v="P74"/>
    <n v="1"/>
    <n v="1499"/>
    <x v="0"/>
    <x v="10"/>
    <s v="no"/>
    <x v="0"/>
    <s v="Yes"/>
    <s v="no"/>
    <s v="No"/>
    <n v="1349.1"/>
    <s v="Normal"/>
  </r>
  <r>
    <x v="25"/>
    <x v="24"/>
    <s v="C194"/>
    <x v="4"/>
    <s v="P98"/>
    <n v="3"/>
    <m/>
    <x v="0"/>
    <x v="1"/>
    <s v="no"/>
    <x v="0"/>
    <s v="Yes"/>
    <s v="no"/>
    <s v="No"/>
    <n v="1699.15"/>
    <s v="Normal"/>
  </r>
  <r>
    <x v="26"/>
    <x v="25"/>
    <s v="C145"/>
    <x v="0"/>
    <s v="P57"/>
    <n v="1"/>
    <n v="199"/>
    <x v="0"/>
    <x v="11"/>
    <s v="no"/>
    <x v="0"/>
    <s v="Yes"/>
    <s v="no"/>
    <s v="No"/>
    <n v="717.30000000000007"/>
    <s v="Normal"/>
  </r>
  <r>
    <x v="27"/>
    <x v="26"/>
    <s v="C101"/>
    <x v="0"/>
    <s v="P90"/>
    <n v="1"/>
    <n v="999"/>
    <x v="0"/>
    <x v="12"/>
    <s v="no"/>
    <x v="0"/>
    <s v="No"/>
    <s v="no"/>
    <s v="No"/>
    <n v="899.1"/>
    <s v="Normal"/>
  </r>
  <r>
    <x v="28"/>
    <x v="27"/>
    <s v="C134"/>
    <x v="2"/>
    <s v="P41"/>
    <n v="1"/>
    <m/>
    <x v="2"/>
    <x v="1"/>
    <s v="no"/>
    <x v="0"/>
    <s v="Yes"/>
    <s v="no"/>
    <s v="No"/>
    <n v="897"/>
    <s v="Normal"/>
  </r>
  <r>
    <x v="29"/>
    <x v="28"/>
    <s v="C186"/>
    <x v="3"/>
    <s v="P3"/>
    <n v="1"/>
    <n v="499"/>
    <x v="4"/>
    <x v="13"/>
    <s v="no"/>
    <x v="1"/>
    <s v="Yes"/>
    <s v="no"/>
    <s v="No"/>
    <n v="668.15"/>
    <s v="Normal"/>
  </r>
  <r>
    <x v="30"/>
    <x v="29"/>
    <s v="C180"/>
    <x v="3"/>
    <s v="P6"/>
    <n v="3"/>
    <n v="299"/>
    <x v="4"/>
    <x v="14"/>
    <s v="no"/>
    <x v="1"/>
    <s v="No"/>
    <s v="no"/>
    <s v="No"/>
    <n v="897"/>
    <s v="Normal"/>
  </r>
  <r>
    <x v="31"/>
    <x v="30"/>
    <s v="C189"/>
    <x v="4"/>
    <s v="P5"/>
    <n v="3"/>
    <n v="299"/>
    <x v="4"/>
    <x v="14"/>
    <s v="no"/>
    <x v="1"/>
    <s v="Yes"/>
    <s v="no"/>
    <s v="No"/>
    <n v="5689"/>
    <s v="Normal"/>
  </r>
  <r>
    <x v="32"/>
    <x v="31"/>
    <s v="C107"/>
    <x v="3"/>
    <s v="P5"/>
    <n v="2"/>
    <n v="1999"/>
    <x v="1"/>
    <x v="15"/>
    <s v="yes"/>
    <x v="0"/>
    <s v="Yes"/>
    <s v="no"/>
    <s v="Yes"/>
    <n v="6794.9000000000005"/>
    <s v="Normal"/>
  </r>
  <r>
    <x v="33"/>
    <x v="2"/>
    <s v="C192"/>
    <x v="1"/>
    <s v="P54"/>
    <n v="2"/>
    <n v="1999"/>
    <x v="5"/>
    <x v="16"/>
    <s v="yes"/>
    <x v="0"/>
    <s v="Yes"/>
    <s v="yes"/>
    <s v="Yes"/>
    <n v="3556.6"/>
    <s v="Normal"/>
  </r>
  <r>
    <x v="34"/>
    <x v="32"/>
    <s v="C125"/>
    <x v="3"/>
    <s v="P47"/>
    <n v="3"/>
    <n v="1499"/>
    <x v="4"/>
    <x v="17"/>
    <s v="yes"/>
    <x v="1"/>
    <s v="Yes"/>
    <s v="no"/>
    <s v="Yes"/>
    <n v="6729"/>
    <s v="Normal"/>
  </r>
  <r>
    <x v="35"/>
    <x v="33"/>
    <s v="C173"/>
    <x v="4"/>
    <s v="P87"/>
    <n v="0"/>
    <n v="299"/>
    <x v="0"/>
    <x v="8"/>
    <s v="no"/>
    <x v="0"/>
    <s v="No"/>
    <s v="no"/>
    <s v="No"/>
    <n v="0"/>
    <s v="Normal"/>
  </r>
  <r>
    <x v="36"/>
    <x v="34"/>
    <s v="C189"/>
    <x v="3"/>
    <s v="P49"/>
    <n v="2"/>
    <n v="999"/>
    <x v="0"/>
    <x v="18"/>
    <s v="yes"/>
    <x v="0"/>
    <s v="Yes"/>
    <s v="no"/>
    <s v="Yes"/>
    <n v="6245.55"/>
    <s v="Normal"/>
  </r>
  <r>
    <x v="37"/>
    <x v="35"/>
    <s v="C133"/>
    <x v="1"/>
    <s v="P9"/>
    <m/>
    <n v="199"/>
    <x v="4"/>
    <x v="1"/>
    <s v="no"/>
    <x v="1"/>
    <s v="No"/>
    <s v="no"/>
    <s v="No"/>
    <n v="0"/>
    <s v="Normal"/>
  </r>
  <r>
    <x v="38"/>
    <x v="36"/>
    <s v="C106"/>
    <x v="2"/>
    <s v="P99"/>
    <n v="3"/>
    <n v="499"/>
    <x v="4"/>
    <x v="3"/>
    <s v="yes"/>
    <x v="1"/>
    <s v="No"/>
    <s v="no"/>
    <s v="No"/>
    <n v="1497"/>
    <s v="Normal"/>
  </r>
  <r>
    <x v="39"/>
    <x v="37"/>
    <s v="C167"/>
    <x v="4"/>
    <s v="P20"/>
    <n v="1"/>
    <n v="1999"/>
    <x v="0"/>
    <x v="19"/>
    <s v="yes"/>
    <x v="0"/>
    <s v="No"/>
    <s v="no"/>
    <s v="No"/>
    <n v="1799.1"/>
    <s v="Normal"/>
  </r>
  <r>
    <x v="40"/>
    <x v="38"/>
    <s v="C157"/>
    <x v="2"/>
    <s v="P61"/>
    <n v="2"/>
    <n v="999"/>
    <x v="1"/>
    <x v="20"/>
    <s v="yes"/>
    <x v="0"/>
    <s v="No"/>
    <s v="no"/>
    <s v="No"/>
    <n v="1698.3"/>
    <s v="Normal"/>
  </r>
  <r>
    <x v="41"/>
    <x v="14"/>
    <s v="C174"/>
    <x v="2"/>
    <s v="P35"/>
    <n v="2"/>
    <n v="499"/>
    <x v="3"/>
    <x v="21"/>
    <s v="no"/>
    <x v="1"/>
    <s v="Yes"/>
    <s v="no"/>
    <s v="No"/>
    <n v="2495"/>
    <s v="Normal"/>
  </r>
  <r>
    <x v="42"/>
    <x v="39"/>
    <s v="C128"/>
    <x v="2"/>
    <s v="P50"/>
    <n v="2"/>
    <n v="499"/>
    <x v="3"/>
    <x v="21"/>
    <s v="no"/>
    <x v="1"/>
    <s v="Yes"/>
    <s v="no"/>
    <s v="No"/>
    <n v="2997"/>
    <s v="Normal"/>
  </r>
  <r>
    <x v="43"/>
    <x v="40"/>
    <s v="C135"/>
    <x v="0"/>
    <s v="P82"/>
    <n v="1"/>
    <n v="199"/>
    <x v="4"/>
    <x v="22"/>
    <s v="no"/>
    <x v="1"/>
    <s v="Yes"/>
    <s v="no"/>
    <s v="No"/>
    <n v="10466.950000000001"/>
    <s v="Normal"/>
  </r>
  <r>
    <x v="44"/>
    <x v="6"/>
    <s v="C188"/>
    <x v="0"/>
    <s v="P62"/>
    <n v="1"/>
    <n v="1499"/>
    <x v="2"/>
    <x v="23"/>
    <s v="yes"/>
    <x v="0"/>
    <s v="Yes"/>
    <s v="no"/>
    <s v="Yes"/>
    <n v="1782.25"/>
    <s v="Normal"/>
  </r>
  <r>
    <x v="45"/>
    <x v="41"/>
    <s v="C120"/>
    <x v="2"/>
    <s v="P17"/>
    <n v="1"/>
    <n v="299"/>
    <x v="4"/>
    <x v="24"/>
    <s v="no"/>
    <x v="1"/>
    <s v="No"/>
    <s v="no"/>
    <s v="No"/>
    <n v="299"/>
    <s v="Normal"/>
  </r>
  <r>
    <x v="46"/>
    <x v="42"/>
    <s v="C135"/>
    <x v="4"/>
    <s v="P88"/>
    <n v="5"/>
    <n v="199"/>
    <x v="4"/>
    <x v="25"/>
    <s v="no"/>
    <x v="1"/>
    <s v="No"/>
    <s v="no"/>
    <s v="No"/>
    <n v="995"/>
    <s v="Normal"/>
  </r>
  <r>
    <x v="47"/>
    <x v="43"/>
    <s v="C109"/>
    <x v="1"/>
    <s v="P3"/>
    <n v="3"/>
    <n v="999"/>
    <x v="3"/>
    <x v="26"/>
    <s v="yes"/>
    <x v="1"/>
    <s v="No"/>
    <s v="no"/>
    <s v="No"/>
    <n v="2997"/>
    <s v="Normal"/>
  </r>
  <r>
    <x v="48"/>
    <x v="44"/>
    <s v="C172"/>
    <x v="1"/>
    <s v="P32"/>
    <n v="1"/>
    <n v="1499"/>
    <x v="0"/>
    <x v="10"/>
    <s v="no"/>
    <x v="0"/>
    <s v="Yes"/>
    <s v="no"/>
    <s v="No"/>
    <n v="1748.3"/>
    <s v="Normal"/>
  </r>
  <r>
    <x v="49"/>
    <x v="45"/>
    <s v="C123"/>
    <x v="3"/>
    <s v="P99"/>
    <n v="1"/>
    <n v="999"/>
    <x v="4"/>
    <x v="27"/>
    <s v="no"/>
    <x v="1"/>
    <s v="Yes"/>
    <s v="no"/>
    <s v="No"/>
    <n v="1397"/>
    <s v="Normal"/>
  </r>
  <r>
    <x v="50"/>
    <x v="46"/>
    <s v="C163"/>
    <x v="4"/>
    <s v="P13"/>
    <n v="3"/>
    <n v="1499"/>
    <x v="0"/>
    <x v="28"/>
    <s v="yes"/>
    <x v="0"/>
    <s v="No"/>
    <s v="no"/>
    <s v="No"/>
    <n v="4047.3"/>
    <s v="Normal"/>
  </r>
  <r>
    <x v="51"/>
    <x v="47"/>
    <s v="C198"/>
    <x v="0"/>
    <s v="P89"/>
    <n v="1"/>
    <n v="1999"/>
    <x v="0"/>
    <x v="19"/>
    <s v="yes"/>
    <x v="0"/>
    <s v="No"/>
    <s v="no"/>
    <s v="No"/>
    <n v="1799.1"/>
    <s v="Normal"/>
  </r>
  <r>
    <x v="52"/>
    <x v="48"/>
    <s v="C148"/>
    <x v="2"/>
    <s v="P73"/>
    <n v="1"/>
    <n v="999"/>
    <x v="2"/>
    <x v="29"/>
    <s v="no"/>
    <x v="0"/>
    <s v="No"/>
    <s v="no"/>
    <s v="No"/>
    <n v="949.05"/>
    <s v="Normal"/>
  </r>
  <r>
    <x v="53"/>
    <x v="49"/>
    <s v="C198"/>
    <x v="3"/>
    <s v="P68"/>
    <m/>
    <n v="199"/>
    <x v="0"/>
    <x v="1"/>
    <s v="no"/>
    <x v="0"/>
    <s v="Yes"/>
    <s v="no"/>
    <s v="No"/>
    <n v="3653.7"/>
    <s v="Normal"/>
  </r>
  <r>
    <x v="54"/>
    <x v="50"/>
    <s v="C135"/>
    <x v="1"/>
    <s v="P14"/>
    <n v="1"/>
    <n v="1499"/>
    <x v="3"/>
    <x v="9"/>
    <s v="yes"/>
    <x v="1"/>
    <s v="Yes"/>
    <s v="no"/>
    <s v="Yes"/>
    <n v="3531.3"/>
    <s v="Normal"/>
  </r>
  <r>
    <x v="55"/>
    <x v="51"/>
    <s v="C181"/>
    <x v="0"/>
    <s v="P98"/>
    <n v="3"/>
    <n v="1499"/>
    <x v="1"/>
    <x v="30"/>
    <s v="yes"/>
    <x v="0"/>
    <s v="Yes"/>
    <s v="no"/>
    <s v="Yes"/>
    <n v="11363.95"/>
    <s v="Normal"/>
  </r>
  <r>
    <x v="56"/>
    <x v="52"/>
    <s v="C195"/>
    <x v="0"/>
    <s v="P11"/>
    <m/>
    <n v="499"/>
    <x v="1"/>
    <x v="1"/>
    <s v="no"/>
    <x v="0"/>
    <s v="Yes"/>
    <s v="no"/>
    <s v="No"/>
    <n v="2892.6"/>
    <s v="Normal"/>
  </r>
  <r>
    <x v="57"/>
    <x v="53"/>
    <s v="C123"/>
    <x v="2"/>
    <s v="P56"/>
    <n v="2"/>
    <n v="499"/>
    <x v="5"/>
    <x v="31"/>
    <s v="no"/>
    <x v="0"/>
    <s v="Yes"/>
    <s v="yes"/>
    <s v="No"/>
    <n v="10189.200000000001"/>
    <s v="Normal"/>
  </r>
  <r>
    <x v="58"/>
    <x v="54"/>
    <s v="C122"/>
    <x v="1"/>
    <s v="P67"/>
    <n v="0"/>
    <m/>
    <x v="4"/>
    <x v="1"/>
    <s v="no"/>
    <x v="1"/>
    <s v="Yes"/>
    <s v="no"/>
    <s v="No"/>
    <n v="4197.3999999999996"/>
    <s v="Normal"/>
  </r>
  <r>
    <x v="59"/>
    <x v="55"/>
    <s v="C161"/>
    <x v="4"/>
    <s v="P92"/>
    <n v="1"/>
    <n v="999"/>
    <x v="3"/>
    <x v="27"/>
    <s v="no"/>
    <x v="1"/>
    <s v="No"/>
    <s v="no"/>
    <s v="No"/>
    <n v="999"/>
    <s v="Normal"/>
  </r>
  <r>
    <x v="60"/>
    <x v="56"/>
    <s v="C195"/>
    <x v="0"/>
    <s v="P29"/>
    <n v="4"/>
    <n v="499"/>
    <x v="0"/>
    <x v="32"/>
    <s v="yes"/>
    <x v="0"/>
    <s v="Yes"/>
    <s v="no"/>
    <s v="Yes"/>
    <n v="4393.8"/>
    <s v="Normal"/>
  </r>
  <r>
    <x v="61"/>
    <x v="57"/>
    <s v="C136"/>
    <x v="2"/>
    <s v="P9"/>
    <n v="4"/>
    <m/>
    <x v="1"/>
    <x v="1"/>
    <s v="no"/>
    <x v="0"/>
    <s v="No"/>
    <s v="no"/>
    <s v="No"/>
    <n v="0"/>
    <s v="Normal"/>
  </r>
  <r>
    <x v="62"/>
    <x v="12"/>
    <s v="C111"/>
    <x v="4"/>
    <s v="P67"/>
    <n v="4"/>
    <n v="1999"/>
    <x v="3"/>
    <x v="33"/>
    <s v="yes"/>
    <x v="1"/>
    <s v="Yes"/>
    <s v="no"/>
    <s v="Yes"/>
    <n v="11794.1"/>
    <s v="Outlier"/>
  </r>
  <r>
    <x v="63"/>
    <x v="58"/>
    <s v="C154"/>
    <x v="1"/>
    <s v="P25"/>
    <n v="1"/>
    <n v="1999"/>
    <x v="1"/>
    <x v="34"/>
    <s v="yes"/>
    <x v="0"/>
    <s v="Yes"/>
    <s v="no"/>
    <s v="Yes"/>
    <n v="1699.15"/>
    <s v="Normal"/>
  </r>
  <r>
    <x v="64"/>
    <x v="59"/>
    <s v="C112"/>
    <x v="0"/>
    <s v="P98"/>
    <n v="4"/>
    <n v="499"/>
    <x v="0"/>
    <x v="32"/>
    <s v="yes"/>
    <x v="0"/>
    <s v="Yes"/>
    <s v="no"/>
    <s v="Yes"/>
    <n v="6687.6"/>
    <s v="Normal"/>
  </r>
  <r>
    <x v="65"/>
    <x v="60"/>
    <s v="C122"/>
    <x v="4"/>
    <s v="P76"/>
    <n v="5"/>
    <n v="999"/>
    <x v="1"/>
    <x v="35"/>
    <s v="yes"/>
    <x v="0"/>
    <s v="Yes"/>
    <s v="no"/>
    <s v="Yes"/>
    <n v="8068.2"/>
    <s v="Normal"/>
  </r>
  <r>
    <x v="66"/>
    <x v="61"/>
    <s v="C188"/>
    <x v="4"/>
    <s v="P42"/>
    <n v="3"/>
    <n v="1499"/>
    <x v="4"/>
    <x v="17"/>
    <s v="yes"/>
    <x v="1"/>
    <s v="No"/>
    <s v="no"/>
    <s v="No"/>
    <n v="4497"/>
    <s v="Normal"/>
  </r>
  <r>
    <x v="67"/>
    <x v="62"/>
    <s v="C198"/>
    <x v="4"/>
    <s v="P9"/>
    <n v="5"/>
    <n v="299"/>
    <x v="4"/>
    <x v="36"/>
    <s v="yes"/>
    <x v="1"/>
    <s v="Yes"/>
    <s v="no"/>
    <s v="Yes"/>
    <n v="1813.4"/>
    <s v="Normal"/>
  </r>
  <r>
    <x v="68"/>
    <x v="63"/>
    <s v="C129"/>
    <x v="0"/>
    <s v="P79"/>
    <n v="4"/>
    <n v="999"/>
    <x v="5"/>
    <x v="37"/>
    <s v="yes"/>
    <x v="0"/>
    <s v="Yes"/>
    <s v="yes"/>
    <s v="Yes"/>
    <n v="3196.8"/>
    <s v="Normal"/>
  </r>
  <r>
    <x v="69"/>
    <x v="64"/>
    <s v="C116"/>
    <x v="0"/>
    <s v="P40"/>
    <n v="3"/>
    <n v="199"/>
    <x v="5"/>
    <x v="38"/>
    <s v="no"/>
    <x v="0"/>
    <s v="Yes"/>
    <s v="yes"/>
    <s v="No"/>
    <n v="6171.7"/>
    <s v="Normal"/>
  </r>
  <r>
    <x v="70"/>
    <x v="65"/>
    <s v="C161"/>
    <x v="3"/>
    <s v="P25"/>
    <n v="3"/>
    <n v="1999"/>
    <x v="1"/>
    <x v="39"/>
    <s v="yes"/>
    <x v="0"/>
    <s v="Yes"/>
    <s v="no"/>
    <s v="Yes"/>
    <n v="5995.65"/>
    <s v="Normal"/>
  </r>
  <r>
    <x v="71"/>
    <x v="66"/>
    <s v="C183"/>
    <x v="1"/>
    <s v="P5"/>
    <n v="2"/>
    <n v="499"/>
    <x v="3"/>
    <x v="21"/>
    <s v="no"/>
    <x v="1"/>
    <s v="No"/>
    <s v="no"/>
    <s v="No"/>
    <n v="998"/>
    <s v="Normal"/>
  </r>
  <r>
    <x v="72"/>
    <x v="67"/>
    <s v="C188"/>
    <x v="2"/>
    <s v="P11"/>
    <n v="1"/>
    <n v="499"/>
    <x v="4"/>
    <x v="13"/>
    <s v="no"/>
    <x v="1"/>
    <s v="No"/>
    <s v="no"/>
    <s v="No"/>
    <n v="499"/>
    <s v="Normal"/>
  </r>
  <r>
    <x v="73"/>
    <x v="68"/>
    <s v="C185"/>
    <x v="4"/>
    <s v="P59"/>
    <n v="3"/>
    <n v="1499"/>
    <x v="3"/>
    <x v="17"/>
    <s v="yes"/>
    <x v="1"/>
    <s v="No"/>
    <s v="no"/>
    <s v="No"/>
    <n v="4497"/>
    <s v="Normal"/>
  </r>
  <r>
    <x v="74"/>
    <x v="69"/>
    <s v="C112"/>
    <x v="3"/>
    <s v="P98"/>
    <n v="2"/>
    <n v="199"/>
    <x v="3"/>
    <x v="40"/>
    <s v="no"/>
    <x v="1"/>
    <s v="No"/>
    <s v="no"/>
    <s v="No"/>
    <n v="398"/>
    <s v="Normal"/>
  </r>
  <r>
    <x v="75"/>
    <x v="70"/>
    <s v="C158"/>
    <x v="2"/>
    <s v="P88"/>
    <n v="4"/>
    <n v="1499"/>
    <x v="1"/>
    <x v="41"/>
    <s v="yes"/>
    <x v="0"/>
    <s v="Yes"/>
    <s v="no"/>
    <s v="Yes"/>
    <n v="14386.9"/>
    <s v="Normal"/>
  </r>
  <r>
    <x v="76"/>
    <x v="2"/>
    <s v="C118"/>
    <x v="3"/>
    <s v="P79"/>
    <m/>
    <n v="199"/>
    <x v="3"/>
    <x v="1"/>
    <s v="no"/>
    <x v="1"/>
    <s v="Yes"/>
    <s v="no"/>
    <s v="No"/>
    <n v="3556.6"/>
    <s v="Normal"/>
  </r>
  <r>
    <x v="77"/>
    <x v="8"/>
    <s v="C148"/>
    <x v="0"/>
    <s v="P38"/>
    <n v="4"/>
    <n v="299"/>
    <x v="4"/>
    <x v="42"/>
    <s v="no"/>
    <x v="1"/>
    <s v="Yes"/>
    <s v="no"/>
    <s v="No"/>
    <n v="4252.3999999999996"/>
    <s v="Normal"/>
  </r>
  <r>
    <x v="78"/>
    <x v="71"/>
    <s v="C199"/>
    <x v="4"/>
    <s v="P72"/>
    <n v="1"/>
    <n v="1999"/>
    <x v="0"/>
    <x v="19"/>
    <s v="yes"/>
    <x v="0"/>
    <s v="Yes"/>
    <s v="no"/>
    <s v="Yes"/>
    <n v="3694.7"/>
    <s v="Normal"/>
  </r>
  <r>
    <x v="79"/>
    <x v="32"/>
    <s v="C111"/>
    <x v="2"/>
    <s v="P5"/>
    <n v="1"/>
    <n v="499"/>
    <x v="5"/>
    <x v="43"/>
    <s v="no"/>
    <x v="0"/>
    <s v="Yes"/>
    <s v="yes"/>
    <s v="No"/>
    <n v="6729"/>
    <s v="Normal"/>
  </r>
  <r>
    <x v="80"/>
    <x v="72"/>
    <s v="C160"/>
    <x v="2"/>
    <s v="P48"/>
    <n v="1"/>
    <n v="499"/>
    <x v="0"/>
    <x v="44"/>
    <s v="no"/>
    <x v="0"/>
    <s v="No"/>
    <s v="no"/>
    <s v="No"/>
    <n v="449.1"/>
    <s v="Normal"/>
  </r>
  <r>
    <x v="81"/>
    <x v="73"/>
    <s v="C118"/>
    <x v="2"/>
    <s v="P90"/>
    <n v="3"/>
    <n v="299"/>
    <x v="3"/>
    <x v="14"/>
    <s v="no"/>
    <x v="1"/>
    <s v="No"/>
    <s v="no"/>
    <s v="No"/>
    <n v="897"/>
    <s v="Normal"/>
  </r>
  <r>
    <x v="82"/>
    <x v="74"/>
    <s v="C175"/>
    <x v="2"/>
    <s v="P18"/>
    <n v="4"/>
    <m/>
    <x v="0"/>
    <x v="1"/>
    <s v="no"/>
    <x v="0"/>
    <s v="Yes"/>
    <s v="no"/>
    <s v="No"/>
    <n v="1225.9000000000001"/>
    <s v="Normal"/>
  </r>
  <r>
    <x v="83"/>
    <x v="75"/>
    <s v="C108"/>
    <x v="2"/>
    <s v="P70"/>
    <n v="5"/>
    <n v="1999"/>
    <x v="4"/>
    <x v="45"/>
    <s v="yes"/>
    <x v="1"/>
    <s v="Yes"/>
    <s v="no"/>
    <s v="Yes"/>
    <n v="17212.349999999999"/>
    <s v="Outlier"/>
  </r>
  <r>
    <x v="84"/>
    <x v="76"/>
    <s v="C170"/>
    <x v="3"/>
    <s v="P37"/>
    <n v="2"/>
    <n v="1499"/>
    <x v="4"/>
    <x v="4"/>
    <s v="yes"/>
    <x v="1"/>
    <s v="Yes"/>
    <s v="no"/>
    <s v="Yes"/>
    <n v="3805.3"/>
    <s v="Normal"/>
  </r>
  <r>
    <x v="85"/>
    <x v="50"/>
    <s v="C127"/>
    <x v="4"/>
    <s v="P60"/>
    <n v="5"/>
    <n v="299"/>
    <x v="3"/>
    <x v="36"/>
    <s v="yes"/>
    <x v="1"/>
    <s v="Yes"/>
    <s v="no"/>
    <s v="Yes"/>
    <n v="3531.3"/>
    <s v="Normal"/>
  </r>
  <r>
    <x v="86"/>
    <x v="77"/>
    <s v="C177"/>
    <x v="0"/>
    <s v="P48"/>
    <n v="4"/>
    <n v="1499"/>
    <x v="1"/>
    <x v="41"/>
    <s v="yes"/>
    <x v="0"/>
    <s v="Yes"/>
    <s v="no"/>
    <s v="Yes"/>
    <n v="8893.6999999999989"/>
    <s v="Normal"/>
  </r>
  <r>
    <x v="87"/>
    <x v="78"/>
    <s v="C194"/>
    <x v="0"/>
    <s v="P77"/>
    <n v="2"/>
    <n v="999"/>
    <x v="0"/>
    <x v="18"/>
    <s v="yes"/>
    <x v="0"/>
    <s v="No"/>
    <s v="no"/>
    <s v="No"/>
    <n v="1798.2"/>
    <s v="Normal"/>
  </r>
  <r>
    <x v="88"/>
    <x v="71"/>
    <s v="C151"/>
    <x v="0"/>
    <s v="P28"/>
    <n v="4"/>
    <n v="499"/>
    <x v="1"/>
    <x v="2"/>
    <s v="yes"/>
    <x v="0"/>
    <s v="Yes"/>
    <s v="no"/>
    <s v="Yes"/>
    <n v="3694.7"/>
    <s v="Normal"/>
  </r>
  <r>
    <x v="89"/>
    <x v="31"/>
    <s v="C182"/>
    <x v="0"/>
    <s v="P69"/>
    <n v="2"/>
    <n v="1499"/>
    <x v="1"/>
    <x v="46"/>
    <s v="yes"/>
    <x v="0"/>
    <s v="Yes"/>
    <s v="no"/>
    <s v="Yes"/>
    <n v="6794.9000000000005"/>
    <s v="Normal"/>
  </r>
  <r>
    <x v="90"/>
    <x v="79"/>
    <s v="C115"/>
    <x v="3"/>
    <s v="P77"/>
    <n v="1"/>
    <n v="199"/>
    <x v="2"/>
    <x v="47"/>
    <s v="no"/>
    <x v="0"/>
    <s v="Yes"/>
    <s v="no"/>
    <s v="No"/>
    <n v="189.05"/>
    <s v="Normal"/>
  </r>
  <r>
    <x v="91"/>
    <x v="80"/>
    <s v="C168"/>
    <x v="1"/>
    <s v="P81"/>
    <n v="3"/>
    <n v="1499"/>
    <x v="3"/>
    <x v="17"/>
    <s v="yes"/>
    <x v="1"/>
    <s v="No"/>
    <s v="no"/>
    <s v="No"/>
    <n v="4497"/>
    <s v="Normal"/>
  </r>
  <r>
    <x v="92"/>
    <x v="81"/>
    <s v="C198"/>
    <x v="4"/>
    <s v="P40"/>
    <n v="2"/>
    <n v="999"/>
    <x v="5"/>
    <x v="48"/>
    <s v="yes"/>
    <x v="0"/>
    <s v="Yes"/>
    <s v="yes"/>
    <s v="Yes"/>
    <n v="2396.8000000000002"/>
    <s v="Normal"/>
  </r>
  <r>
    <x v="93"/>
    <x v="82"/>
    <s v="C111"/>
    <x v="2"/>
    <s v="P45"/>
    <n v="3"/>
    <n v="1999"/>
    <x v="4"/>
    <x v="49"/>
    <s v="yes"/>
    <x v="1"/>
    <s v="No"/>
    <s v="no"/>
    <s v="No"/>
    <n v="5997"/>
    <s v="Outlier"/>
  </r>
  <r>
    <x v="94"/>
    <x v="83"/>
    <s v="C124"/>
    <x v="1"/>
    <s v="P96"/>
    <n v="3"/>
    <n v="499"/>
    <x v="4"/>
    <x v="3"/>
    <s v="yes"/>
    <x v="1"/>
    <s v="No"/>
    <s v="no"/>
    <s v="No"/>
    <n v="1497"/>
    <s v="Normal"/>
  </r>
  <r>
    <x v="95"/>
    <x v="27"/>
    <s v="C151"/>
    <x v="0"/>
    <s v="P62"/>
    <n v="3"/>
    <n v="299"/>
    <x v="3"/>
    <x v="14"/>
    <s v="no"/>
    <x v="1"/>
    <s v="Yes"/>
    <s v="no"/>
    <s v="No"/>
    <n v="897"/>
    <s v="Normal"/>
  </r>
  <r>
    <x v="96"/>
    <x v="84"/>
    <s v="C184"/>
    <x v="1"/>
    <s v="P93"/>
    <n v="2"/>
    <n v="999"/>
    <x v="5"/>
    <x v="48"/>
    <s v="yes"/>
    <x v="0"/>
    <s v="Yes"/>
    <s v="yes"/>
    <s v="Yes"/>
    <n v="1956.6000000000001"/>
    <s v="Normal"/>
  </r>
  <r>
    <x v="97"/>
    <x v="85"/>
    <s v="C199"/>
    <x v="4"/>
    <s v="P58"/>
    <n v="2"/>
    <n v="499"/>
    <x v="4"/>
    <x v="21"/>
    <s v="no"/>
    <x v="1"/>
    <s v="Yes"/>
    <s v="no"/>
    <s v="No"/>
    <n v="4794.2"/>
    <s v="Normal"/>
  </r>
  <r>
    <x v="98"/>
    <x v="18"/>
    <s v="C152"/>
    <x v="2"/>
    <s v="P67"/>
    <n v="3"/>
    <n v="1499"/>
    <x v="3"/>
    <x v="17"/>
    <s v="yes"/>
    <x v="1"/>
    <s v="Yes"/>
    <s v="no"/>
    <s v="Yes"/>
    <n v="4815.3999999999996"/>
    <s v="Normal"/>
  </r>
  <r>
    <x v="99"/>
    <x v="86"/>
    <s v="C122"/>
    <x v="2"/>
    <s v="P56"/>
    <n v="2"/>
    <n v="1999"/>
    <x v="4"/>
    <x v="50"/>
    <s v="yes"/>
    <x v="1"/>
    <s v="Yes"/>
    <s v="no"/>
    <s v="Yes"/>
    <n v="5564.75"/>
    <s v="Normal"/>
  </r>
  <r>
    <x v="100"/>
    <x v="87"/>
    <s v="C115"/>
    <x v="4"/>
    <s v="P40"/>
    <n v="2"/>
    <m/>
    <x v="1"/>
    <x v="1"/>
    <s v="no"/>
    <x v="0"/>
    <s v="No"/>
    <s v="no"/>
    <s v="No"/>
    <n v="0"/>
    <s v="Normal"/>
  </r>
  <r>
    <x v="101"/>
    <x v="88"/>
    <s v="C156"/>
    <x v="4"/>
    <s v="P98"/>
    <n v="0"/>
    <n v="1999"/>
    <x v="0"/>
    <x v="8"/>
    <s v="no"/>
    <x v="0"/>
    <s v="Yes"/>
    <s v="no"/>
    <s v="No"/>
    <n v="1895"/>
    <s v="Normal"/>
  </r>
  <r>
    <x v="102"/>
    <x v="89"/>
    <s v="C138"/>
    <x v="0"/>
    <s v="P40"/>
    <n v="3"/>
    <m/>
    <x v="0"/>
    <x v="1"/>
    <s v="no"/>
    <x v="0"/>
    <s v="No"/>
    <s v="no"/>
    <s v="No"/>
    <n v="0"/>
    <s v="Normal"/>
  </r>
  <r>
    <x v="103"/>
    <x v="56"/>
    <s v="C152"/>
    <x v="2"/>
    <s v="P91"/>
    <n v="1"/>
    <n v="199"/>
    <x v="4"/>
    <x v="22"/>
    <s v="no"/>
    <x v="1"/>
    <s v="Yes"/>
    <s v="no"/>
    <s v="No"/>
    <n v="4393.8"/>
    <s v="Normal"/>
  </r>
  <r>
    <x v="104"/>
    <x v="90"/>
    <s v="C141"/>
    <x v="1"/>
    <s v="P77"/>
    <n v="3"/>
    <n v="1999"/>
    <x v="2"/>
    <x v="51"/>
    <s v="yes"/>
    <x v="0"/>
    <s v="Yes"/>
    <s v="no"/>
    <s v="Yes"/>
    <n v="6075.25"/>
    <s v="Outlier"/>
  </r>
  <r>
    <x v="105"/>
    <x v="91"/>
    <s v="C157"/>
    <x v="3"/>
    <s v="P33"/>
    <n v="4"/>
    <n v="499"/>
    <x v="5"/>
    <x v="52"/>
    <s v="yes"/>
    <x v="0"/>
    <s v="Yes"/>
    <s v="yes"/>
    <s v="Yes"/>
    <n v="2878.8500000000004"/>
    <s v="Normal"/>
  </r>
  <r>
    <x v="106"/>
    <x v="92"/>
    <s v="C138"/>
    <x v="3"/>
    <s v="P6"/>
    <n v="2"/>
    <m/>
    <x v="5"/>
    <x v="1"/>
    <s v="no"/>
    <x v="0"/>
    <s v="No"/>
    <s v="yes"/>
    <s v="No"/>
    <n v="0"/>
    <s v="Normal"/>
  </r>
  <r>
    <x v="107"/>
    <x v="93"/>
    <s v="C113"/>
    <x v="4"/>
    <s v="P88"/>
    <n v="2"/>
    <n v="299"/>
    <x v="5"/>
    <x v="53"/>
    <s v="no"/>
    <x v="0"/>
    <s v="Yes"/>
    <s v="yes"/>
    <s v="No"/>
    <n v="7082.3"/>
    <s v="Normal"/>
  </r>
  <r>
    <x v="108"/>
    <x v="79"/>
    <s v="C194"/>
    <x v="0"/>
    <s v="P19"/>
    <m/>
    <n v="499"/>
    <x v="1"/>
    <x v="1"/>
    <s v="no"/>
    <x v="0"/>
    <s v="Yes"/>
    <s v="no"/>
    <s v="No"/>
    <n v="189.05"/>
    <s v="Normal"/>
  </r>
  <r>
    <x v="109"/>
    <x v="94"/>
    <s v="C104"/>
    <x v="3"/>
    <s v="P80"/>
    <n v="4"/>
    <n v="299"/>
    <x v="5"/>
    <x v="54"/>
    <s v="no"/>
    <x v="0"/>
    <s v="Yes"/>
    <s v="yes"/>
    <s v="No"/>
    <n v="1553.8000000000002"/>
    <s v="Normal"/>
  </r>
  <r>
    <x v="110"/>
    <x v="40"/>
    <s v="C134"/>
    <x v="2"/>
    <s v="P40"/>
    <n v="5"/>
    <n v="1999"/>
    <x v="0"/>
    <x v="55"/>
    <s v="yes"/>
    <x v="0"/>
    <s v="Yes"/>
    <s v="no"/>
    <s v="Yes"/>
    <n v="10466.950000000001"/>
    <s v="Outlier"/>
  </r>
  <r>
    <x v="111"/>
    <x v="95"/>
    <s v="C186"/>
    <x v="4"/>
    <s v="P92"/>
    <n v="4"/>
    <n v="299"/>
    <x v="1"/>
    <x v="56"/>
    <s v="no"/>
    <x v="0"/>
    <s v="Yes"/>
    <s v="no"/>
    <s v="No"/>
    <n v="1812.6"/>
    <s v="Normal"/>
  </r>
  <r>
    <x v="112"/>
    <x v="96"/>
    <s v="C192"/>
    <x v="1"/>
    <s v="P97"/>
    <n v="1"/>
    <m/>
    <x v="3"/>
    <x v="1"/>
    <s v="no"/>
    <x v="1"/>
    <s v="No"/>
    <s v="no"/>
    <s v="No"/>
    <n v="0"/>
    <s v="Normal"/>
  </r>
  <r>
    <x v="113"/>
    <x v="97"/>
    <s v="C174"/>
    <x v="4"/>
    <s v="P59"/>
    <n v="1"/>
    <n v="499"/>
    <x v="5"/>
    <x v="43"/>
    <s v="no"/>
    <x v="0"/>
    <s v="Yes"/>
    <s v="yes"/>
    <s v="No"/>
    <n v="1206.5"/>
    <s v="Normal"/>
  </r>
  <r>
    <x v="114"/>
    <x v="98"/>
    <s v="C117"/>
    <x v="1"/>
    <s v="P59"/>
    <n v="2"/>
    <n v="1499"/>
    <x v="5"/>
    <x v="57"/>
    <s v="yes"/>
    <x v="0"/>
    <s v="Yes"/>
    <s v="yes"/>
    <s v="Yes"/>
    <n v="2936.6000000000004"/>
    <s v="Normal"/>
  </r>
  <r>
    <x v="115"/>
    <x v="99"/>
    <s v="C175"/>
    <x v="4"/>
    <s v="P48"/>
    <n v="1"/>
    <n v="999"/>
    <x v="3"/>
    <x v="27"/>
    <s v="no"/>
    <x v="1"/>
    <s v="Yes"/>
    <s v="no"/>
    <s v="No"/>
    <n v="1238.2"/>
    <s v="Normal"/>
  </r>
  <r>
    <x v="116"/>
    <x v="100"/>
    <s v="C108"/>
    <x v="4"/>
    <s v="P41"/>
    <n v="2"/>
    <m/>
    <x v="5"/>
    <x v="1"/>
    <s v="no"/>
    <x v="0"/>
    <s v="Yes"/>
    <s v="yes"/>
    <s v="No"/>
    <n v="998"/>
    <s v="Normal"/>
  </r>
  <r>
    <x v="117"/>
    <x v="101"/>
    <s v="C173"/>
    <x v="4"/>
    <s v="P13"/>
    <n v="2"/>
    <m/>
    <x v="3"/>
    <x v="1"/>
    <s v="no"/>
    <x v="1"/>
    <s v="No"/>
    <s v="no"/>
    <s v="No"/>
    <n v="0"/>
    <s v="Normal"/>
  </r>
  <r>
    <x v="118"/>
    <x v="102"/>
    <s v="C157"/>
    <x v="1"/>
    <s v="P45"/>
    <n v="2"/>
    <n v="1499"/>
    <x v="1"/>
    <x v="46"/>
    <s v="yes"/>
    <x v="0"/>
    <s v="No"/>
    <s v="no"/>
    <s v="No"/>
    <n v="2548.3000000000002"/>
    <s v="Normal"/>
  </r>
  <r>
    <x v="119"/>
    <x v="103"/>
    <s v="C116"/>
    <x v="1"/>
    <s v="P89"/>
    <n v="3"/>
    <n v="499"/>
    <x v="0"/>
    <x v="58"/>
    <s v="no"/>
    <x v="0"/>
    <s v="Yes"/>
    <s v="no"/>
    <s v="No"/>
    <n v="14336.099999999999"/>
    <s v="Normal"/>
  </r>
  <r>
    <x v="120"/>
    <x v="104"/>
    <s v="C106"/>
    <x v="4"/>
    <s v="P53"/>
    <n v="3"/>
    <n v="499"/>
    <x v="3"/>
    <x v="3"/>
    <s v="yes"/>
    <x v="1"/>
    <s v="Yes"/>
    <s v="no"/>
    <s v="Yes"/>
    <n v="2452.1999999999998"/>
    <s v="Normal"/>
  </r>
  <r>
    <x v="121"/>
    <x v="12"/>
    <s v="C145"/>
    <x v="3"/>
    <s v="P42"/>
    <n v="2"/>
    <n v="1999"/>
    <x v="2"/>
    <x v="59"/>
    <s v="yes"/>
    <x v="0"/>
    <s v="Yes"/>
    <s v="no"/>
    <s v="Yes"/>
    <n v="11794.1"/>
    <s v="Normal"/>
  </r>
  <r>
    <x v="122"/>
    <x v="105"/>
    <s v="C112"/>
    <x v="0"/>
    <s v="P63"/>
    <n v="4"/>
    <n v="299"/>
    <x v="3"/>
    <x v="42"/>
    <s v="no"/>
    <x v="1"/>
    <s v="No"/>
    <s v="no"/>
    <s v="No"/>
    <n v="1196"/>
    <s v="Normal"/>
  </r>
  <r>
    <x v="123"/>
    <x v="54"/>
    <s v="C139"/>
    <x v="0"/>
    <s v="P27"/>
    <n v="2"/>
    <n v="1999"/>
    <x v="5"/>
    <x v="16"/>
    <s v="yes"/>
    <x v="0"/>
    <s v="Yes"/>
    <s v="yes"/>
    <s v="Yes"/>
    <n v="4197.3999999999996"/>
    <s v="Normal"/>
  </r>
  <r>
    <x v="124"/>
    <x v="106"/>
    <s v="C141"/>
    <x v="0"/>
    <s v="P38"/>
    <n v="4"/>
    <n v="1499"/>
    <x v="1"/>
    <x v="41"/>
    <s v="yes"/>
    <x v="0"/>
    <s v="Yes"/>
    <s v="no"/>
    <s v="Yes"/>
    <n v="5096.5999999999995"/>
    <s v="Normal"/>
  </r>
  <r>
    <x v="125"/>
    <x v="107"/>
    <s v="C108"/>
    <x v="1"/>
    <s v="P60"/>
    <n v="1"/>
    <n v="1999"/>
    <x v="4"/>
    <x v="60"/>
    <s v="yes"/>
    <x v="1"/>
    <s v="Yes"/>
    <s v="no"/>
    <s v="Yes"/>
    <n v="8993"/>
    <s v="Normal"/>
  </r>
  <r>
    <x v="126"/>
    <x v="14"/>
    <s v="C149"/>
    <x v="1"/>
    <s v="P7"/>
    <m/>
    <n v="1499"/>
    <x v="1"/>
    <x v="1"/>
    <s v="no"/>
    <x v="0"/>
    <s v="Yes"/>
    <s v="no"/>
    <s v="No"/>
    <n v="2495"/>
    <s v="Normal"/>
  </r>
  <r>
    <x v="127"/>
    <x v="108"/>
    <s v="C126"/>
    <x v="3"/>
    <s v="P5"/>
    <n v="3"/>
    <n v="499"/>
    <x v="4"/>
    <x v="3"/>
    <s v="yes"/>
    <x v="1"/>
    <s v="Yes"/>
    <s v="no"/>
    <s v="Yes"/>
    <n v="2994"/>
    <s v="Normal"/>
  </r>
  <r>
    <x v="128"/>
    <x v="109"/>
    <s v="C165"/>
    <x v="0"/>
    <s v="P45"/>
    <n v="2"/>
    <n v="299"/>
    <x v="3"/>
    <x v="61"/>
    <s v="no"/>
    <x v="1"/>
    <s v="Yes"/>
    <s v="no"/>
    <s v="No"/>
    <n v="1794"/>
    <s v="Normal"/>
  </r>
  <r>
    <x v="129"/>
    <x v="64"/>
    <s v="C104"/>
    <x v="0"/>
    <s v="P58"/>
    <n v="1"/>
    <n v="1999"/>
    <x v="0"/>
    <x v="19"/>
    <s v="yes"/>
    <x v="0"/>
    <s v="Yes"/>
    <s v="no"/>
    <s v="Yes"/>
    <n v="6171.7"/>
    <s v="Normal"/>
  </r>
  <r>
    <x v="130"/>
    <x v="110"/>
    <s v="C128"/>
    <x v="4"/>
    <s v="P31"/>
    <n v="2"/>
    <m/>
    <x v="2"/>
    <x v="1"/>
    <s v="no"/>
    <x v="0"/>
    <s v="Yes"/>
    <s v="no"/>
    <s v="No"/>
    <n v="2398.4"/>
    <s v="Normal"/>
  </r>
  <r>
    <x v="131"/>
    <x v="111"/>
    <s v="C136"/>
    <x v="1"/>
    <s v="P23"/>
    <n v="1"/>
    <n v="199"/>
    <x v="1"/>
    <x v="62"/>
    <s v="no"/>
    <x v="0"/>
    <s v="Yes"/>
    <s v="no"/>
    <s v="No"/>
    <n v="1668.15"/>
    <s v="Normal"/>
  </r>
  <r>
    <x v="132"/>
    <x v="112"/>
    <s v="C137"/>
    <x v="0"/>
    <s v="P42"/>
    <n v="1"/>
    <n v="999"/>
    <x v="5"/>
    <x v="63"/>
    <s v="no"/>
    <x v="0"/>
    <s v="Yes"/>
    <s v="yes"/>
    <s v="No"/>
    <n v="799.2"/>
    <s v="Normal"/>
  </r>
  <r>
    <x v="133"/>
    <x v="113"/>
    <s v="C182"/>
    <x v="3"/>
    <s v="P10"/>
    <n v="3"/>
    <m/>
    <x v="4"/>
    <x v="1"/>
    <s v="no"/>
    <x v="1"/>
    <s v="No"/>
    <s v="no"/>
    <s v="No"/>
    <n v="0"/>
    <s v="Normal"/>
  </r>
  <r>
    <x v="134"/>
    <x v="81"/>
    <s v="C107"/>
    <x v="3"/>
    <s v="P32"/>
    <n v="2"/>
    <n v="499"/>
    <x v="5"/>
    <x v="31"/>
    <s v="no"/>
    <x v="0"/>
    <s v="Yes"/>
    <s v="yes"/>
    <s v="No"/>
    <n v="2396.8000000000002"/>
    <s v="Normal"/>
  </r>
  <r>
    <x v="135"/>
    <x v="49"/>
    <s v="C164"/>
    <x v="0"/>
    <s v="P53"/>
    <n v="3"/>
    <n v="999"/>
    <x v="0"/>
    <x v="64"/>
    <s v="yes"/>
    <x v="0"/>
    <s v="Yes"/>
    <s v="no"/>
    <s v="Yes"/>
    <n v="3653.7"/>
    <s v="Normal"/>
  </r>
  <r>
    <x v="136"/>
    <x v="114"/>
    <s v="C185"/>
    <x v="1"/>
    <s v="P30"/>
    <n v="5"/>
    <n v="199"/>
    <x v="4"/>
    <x v="25"/>
    <s v="no"/>
    <x v="1"/>
    <s v="No"/>
    <s v="no"/>
    <s v="No"/>
    <n v="995"/>
    <s v="Normal"/>
  </r>
  <r>
    <x v="137"/>
    <x v="115"/>
    <s v="C116"/>
    <x v="3"/>
    <s v="P39"/>
    <n v="2"/>
    <n v="199"/>
    <x v="1"/>
    <x v="65"/>
    <s v="no"/>
    <x v="0"/>
    <s v="No"/>
    <s v="no"/>
    <s v="No"/>
    <n v="338.3"/>
    <s v="Normal"/>
  </r>
  <r>
    <x v="138"/>
    <x v="88"/>
    <s v="C170"/>
    <x v="4"/>
    <s v="P31"/>
    <n v="3"/>
    <n v="299"/>
    <x v="3"/>
    <x v="14"/>
    <s v="no"/>
    <x v="1"/>
    <s v="Yes"/>
    <s v="no"/>
    <s v="No"/>
    <n v="1895"/>
    <s v="Normal"/>
  </r>
  <r>
    <x v="139"/>
    <x v="116"/>
    <s v="C188"/>
    <x v="3"/>
    <s v="P82"/>
    <n v="1"/>
    <n v="999"/>
    <x v="5"/>
    <x v="63"/>
    <s v="no"/>
    <x v="0"/>
    <s v="Yes"/>
    <s v="yes"/>
    <s v="No"/>
    <n v="799.2"/>
    <s v="Normal"/>
  </r>
  <r>
    <x v="140"/>
    <x v="93"/>
    <s v="C144"/>
    <x v="2"/>
    <s v="P2"/>
    <n v="3"/>
    <n v="299"/>
    <x v="0"/>
    <x v="66"/>
    <s v="no"/>
    <x v="0"/>
    <s v="Yes"/>
    <s v="no"/>
    <s v="No"/>
    <n v="7082.3"/>
    <s v="Normal"/>
  </r>
  <r>
    <x v="141"/>
    <x v="117"/>
    <s v="C103"/>
    <x v="2"/>
    <s v="P78"/>
    <n v="2"/>
    <m/>
    <x v="1"/>
    <x v="1"/>
    <s v="no"/>
    <x v="0"/>
    <s v="No"/>
    <s v="no"/>
    <s v="No"/>
    <n v="0"/>
    <s v="Normal"/>
  </r>
  <r>
    <x v="142"/>
    <x v="118"/>
    <s v="C135"/>
    <x v="1"/>
    <s v="P77"/>
    <m/>
    <n v="1499"/>
    <x v="1"/>
    <x v="1"/>
    <s v="no"/>
    <x v="0"/>
    <s v="Yes"/>
    <s v="no"/>
    <s v="No"/>
    <n v="3798.1"/>
    <s v="Normal"/>
  </r>
  <r>
    <x v="143"/>
    <x v="119"/>
    <s v="C169"/>
    <x v="0"/>
    <s v="P93"/>
    <n v="4"/>
    <n v="1499"/>
    <x v="1"/>
    <x v="41"/>
    <s v="yes"/>
    <x v="0"/>
    <s v="Yes"/>
    <s v="no"/>
    <s v="Yes"/>
    <n v="7568.65"/>
    <s v="Normal"/>
  </r>
  <r>
    <x v="144"/>
    <x v="120"/>
    <s v="C130"/>
    <x v="1"/>
    <s v="P12"/>
    <n v="2"/>
    <n v="1499"/>
    <x v="1"/>
    <x v="46"/>
    <s v="yes"/>
    <x v="0"/>
    <s v="Yes"/>
    <s v="no"/>
    <s v="Yes"/>
    <n v="6546.3"/>
    <s v="Normal"/>
  </r>
  <r>
    <x v="145"/>
    <x v="93"/>
    <s v="C118"/>
    <x v="1"/>
    <s v="P39"/>
    <n v="1"/>
    <n v="999"/>
    <x v="4"/>
    <x v="27"/>
    <s v="no"/>
    <x v="1"/>
    <s v="Yes"/>
    <s v="no"/>
    <s v="No"/>
    <n v="7082.3"/>
    <s v="Normal"/>
  </r>
  <r>
    <x v="146"/>
    <x v="75"/>
    <s v="C160"/>
    <x v="1"/>
    <s v="P66"/>
    <n v="4"/>
    <n v="1499"/>
    <x v="1"/>
    <x v="41"/>
    <s v="yes"/>
    <x v="0"/>
    <s v="Yes"/>
    <s v="no"/>
    <s v="Yes"/>
    <n v="17212.349999999999"/>
    <s v="Normal"/>
  </r>
  <r>
    <x v="147"/>
    <x v="121"/>
    <s v="C153"/>
    <x v="1"/>
    <s v="P96"/>
    <n v="4"/>
    <m/>
    <x v="5"/>
    <x v="1"/>
    <s v="no"/>
    <x v="0"/>
    <s v="Yes"/>
    <s v="yes"/>
    <s v="No"/>
    <n v="399.2"/>
    <s v="Normal"/>
  </r>
  <r>
    <x v="148"/>
    <x v="122"/>
    <s v="C138"/>
    <x v="4"/>
    <s v="P13"/>
    <n v="1"/>
    <n v="299"/>
    <x v="0"/>
    <x v="67"/>
    <s v="no"/>
    <x v="0"/>
    <s v="No"/>
    <s v="no"/>
    <s v="No"/>
    <n v="269.10000000000002"/>
    <s v="Normal"/>
  </r>
  <r>
    <x v="149"/>
    <x v="123"/>
    <s v="C190"/>
    <x v="4"/>
    <s v="P46"/>
    <n v="1"/>
    <n v="999"/>
    <x v="4"/>
    <x v="27"/>
    <s v="no"/>
    <x v="1"/>
    <s v="No"/>
    <s v="no"/>
    <s v="No"/>
    <n v="999"/>
    <s v="Normal"/>
  </r>
  <r>
    <x v="150"/>
    <x v="124"/>
    <s v="C173"/>
    <x v="3"/>
    <s v="P27"/>
    <n v="4"/>
    <n v="299"/>
    <x v="1"/>
    <x v="56"/>
    <s v="no"/>
    <x v="0"/>
    <s v="Yes"/>
    <s v="no"/>
    <s v="No"/>
    <n v="2215.8000000000002"/>
    <s v="Normal"/>
  </r>
  <r>
    <x v="151"/>
    <x v="125"/>
    <s v="C189"/>
    <x v="2"/>
    <s v="P17"/>
    <n v="1"/>
    <n v="999"/>
    <x v="2"/>
    <x v="29"/>
    <s v="no"/>
    <x v="0"/>
    <s v="Yes"/>
    <s v="no"/>
    <s v="No"/>
    <n v="2085.25"/>
    <s v="Normal"/>
  </r>
  <r>
    <x v="152"/>
    <x v="126"/>
    <s v="C118"/>
    <x v="1"/>
    <s v="P95"/>
    <n v="5"/>
    <n v="299"/>
    <x v="2"/>
    <x v="68"/>
    <s v="yes"/>
    <x v="0"/>
    <s v="Yes"/>
    <s v="no"/>
    <s v="Yes"/>
    <n v="2919.25"/>
    <s v="Normal"/>
  </r>
  <r>
    <x v="153"/>
    <x v="84"/>
    <s v="C138"/>
    <x v="3"/>
    <s v="P98"/>
    <n v="2"/>
    <n v="199"/>
    <x v="0"/>
    <x v="0"/>
    <s v="no"/>
    <x v="0"/>
    <s v="Yes"/>
    <s v="no"/>
    <s v="No"/>
    <n v="1956.6000000000001"/>
    <s v="Normal"/>
  </r>
  <r>
    <x v="154"/>
    <x v="127"/>
    <s v="C166"/>
    <x v="2"/>
    <s v="P60"/>
    <n v="1"/>
    <n v="299"/>
    <x v="3"/>
    <x v="24"/>
    <s v="no"/>
    <x v="1"/>
    <s v="Yes"/>
    <s v="no"/>
    <s v="No"/>
    <n v="11292"/>
    <s v="Normal"/>
  </r>
  <r>
    <x v="155"/>
    <x v="128"/>
    <s v="C144"/>
    <x v="0"/>
    <s v="P64"/>
    <n v="4"/>
    <n v="1499"/>
    <x v="3"/>
    <x v="69"/>
    <s v="yes"/>
    <x v="1"/>
    <s v="No"/>
    <s v="no"/>
    <s v="No"/>
    <n v="5996"/>
    <s v="Outlier"/>
  </r>
  <r>
    <x v="156"/>
    <x v="129"/>
    <s v="C112"/>
    <x v="4"/>
    <s v="P88"/>
    <n v="2"/>
    <n v="199"/>
    <x v="4"/>
    <x v="40"/>
    <s v="no"/>
    <x v="1"/>
    <s v="Yes"/>
    <s v="no"/>
    <s v="No"/>
    <n v="597"/>
    <s v="Normal"/>
  </r>
  <r>
    <x v="157"/>
    <x v="130"/>
    <s v="C191"/>
    <x v="2"/>
    <s v="P35"/>
    <n v="2"/>
    <n v="299"/>
    <x v="4"/>
    <x v="61"/>
    <s v="no"/>
    <x v="1"/>
    <s v="Yes"/>
    <s v="no"/>
    <s v="No"/>
    <n v="5268.75"/>
    <s v="Normal"/>
  </r>
  <r>
    <x v="158"/>
    <x v="131"/>
    <s v="C157"/>
    <x v="0"/>
    <s v="P70"/>
    <n v="1"/>
    <n v="999"/>
    <x v="4"/>
    <x v="27"/>
    <s v="no"/>
    <x v="1"/>
    <s v="No"/>
    <s v="no"/>
    <s v="No"/>
    <n v="999"/>
    <s v="Normal"/>
  </r>
  <r>
    <x v="159"/>
    <x v="30"/>
    <s v="C119"/>
    <x v="2"/>
    <s v="P83"/>
    <n v="0"/>
    <n v="999"/>
    <x v="3"/>
    <x v="8"/>
    <s v="no"/>
    <x v="1"/>
    <s v="Yes"/>
    <s v="no"/>
    <s v="No"/>
    <n v="5689"/>
    <s v="Normal"/>
  </r>
  <r>
    <x v="160"/>
    <x v="132"/>
    <s v="C191"/>
    <x v="4"/>
    <s v="P30"/>
    <n v="3"/>
    <n v="999"/>
    <x v="2"/>
    <x v="70"/>
    <s v="yes"/>
    <x v="0"/>
    <s v="No"/>
    <s v="no"/>
    <s v="No"/>
    <n v="2847.15"/>
    <s v="Normal"/>
  </r>
  <r>
    <x v="161"/>
    <x v="100"/>
    <s v="C171"/>
    <x v="4"/>
    <s v="P71"/>
    <n v="2"/>
    <n v="499"/>
    <x v="3"/>
    <x v="21"/>
    <s v="no"/>
    <x v="1"/>
    <s v="Yes"/>
    <s v="no"/>
    <s v="No"/>
    <n v="998"/>
    <s v="Normal"/>
  </r>
  <r>
    <x v="162"/>
    <x v="133"/>
    <s v="C160"/>
    <x v="3"/>
    <s v="P74"/>
    <n v="3"/>
    <m/>
    <x v="5"/>
    <x v="1"/>
    <s v="no"/>
    <x v="0"/>
    <s v="No"/>
    <s v="yes"/>
    <s v="No"/>
    <n v="0"/>
    <s v="Normal"/>
  </r>
  <r>
    <x v="163"/>
    <x v="130"/>
    <s v="C138"/>
    <x v="1"/>
    <s v="P96"/>
    <n v="4"/>
    <n v="999"/>
    <x v="1"/>
    <x v="71"/>
    <s v="yes"/>
    <x v="0"/>
    <s v="Yes"/>
    <s v="no"/>
    <s v="Yes"/>
    <n v="5268.75"/>
    <s v="Normal"/>
  </r>
  <r>
    <x v="164"/>
    <x v="94"/>
    <s v="C100"/>
    <x v="2"/>
    <s v="P98"/>
    <n v="3"/>
    <n v="199"/>
    <x v="4"/>
    <x v="72"/>
    <s v="no"/>
    <x v="1"/>
    <s v="Yes"/>
    <s v="no"/>
    <s v="No"/>
    <n v="1553.8000000000002"/>
    <s v="Normal"/>
  </r>
  <r>
    <x v="165"/>
    <x v="134"/>
    <s v="C102"/>
    <x v="2"/>
    <s v="P63"/>
    <n v="1"/>
    <n v="999"/>
    <x v="2"/>
    <x v="29"/>
    <s v="no"/>
    <x v="0"/>
    <s v="Yes"/>
    <s v="no"/>
    <s v="No"/>
    <n v="8945.0499999999993"/>
    <s v="Normal"/>
  </r>
  <r>
    <x v="166"/>
    <x v="65"/>
    <s v="C176"/>
    <x v="0"/>
    <s v="P28"/>
    <n v="2"/>
    <n v="499"/>
    <x v="0"/>
    <x v="73"/>
    <s v="no"/>
    <x v="0"/>
    <s v="Yes"/>
    <s v="no"/>
    <s v="No"/>
    <n v="5995.65"/>
    <s v="Normal"/>
  </r>
  <r>
    <x v="167"/>
    <x v="51"/>
    <s v="C191"/>
    <x v="4"/>
    <s v="P60"/>
    <n v="5"/>
    <n v="1499"/>
    <x v="0"/>
    <x v="74"/>
    <s v="yes"/>
    <x v="0"/>
    <s v="Yes"/>
    <s v="no"/>
    <s v="Yes"/>
    <n v="11363.95"/>
    <s v="Outlier"/>
  </r>
  <r>
    <x v="168"/>
    <x v="135"/>
    <s v="C161"/>
    <x v="2"/>
    <s v="P79"/>
    <n v="4"/>
    <n v="199"/>
    <x v="1"/>
    <x v="75"/>
    <s v="no"/>
    <x v="0"/>
    <s v="Yes"/>
    <s v="no"/>
    <s v="No"/>
    <n v="2474.8000000000002"/>
    <s v="Normal"/>
  </r>
  <r>
    <x v="169"/>
    <x v="9"/>
    <s v="C162"/>
    <x v="4"/>
    <s v="P94"/>
    <n v="3"/>
    <n v="499"/>
    <x v="2"/>
    <x v="76"/>
    <s v="yes"/>
    <x v="0"/>
    <s v="Yes"/>
    <s v="no"/>
    <s v="Yes"/>
    <n v="1780.3500000000001"/>
    <s v="Normal"/>
  </r>
  <r>
    <x v="170"/>
    <x v="136"/>
    <s v="C124"/>
    <x v="2"/>
    <s v="P37"/>
    <n v="1"/>
    <n v="1499"/>
    <x v="3"/>
    <x v="9"/>
    <s v="yes"/>
    <x v="1"/>
    <s v="Yes"/>
    <s v="no"/>
    <s v="Yes"/>
    <n v="1897"/>
    <s v="Normal"/>
  </r>
  <r>
    <x v="171"/>
    <x v="137"/>
    <s v="C155"/>
    <x v="3"/>
    <s v="P93"/>
    <n v="2"/>
    <n v="1999"/>
    <x v="3"/>
    <x v="50"/>
    <s v="yes"/>
    <x v="1"/>
    <s v="No"/>
    <s v="no"/>
    <s v="No"/>
    <n v="3998"/>
    <s v="Normal"/>
  </r>
  <r>
    <x v="172"/>
    <x v="93"/>
    <s v="C132"/>
    <x v="1"/>
    <s v="P22"/>
    <n v="3"/>
    <n v="1999"/>
    <x v="5"/>
    <x v="77"/>
    <s v="yes"/>
    <x v="0"/>
    <s v="Yes"/>
    <s v="yes"/>
    <s v="Yes"/>
    <n v="7082.3"/>
    <s v="Normal"/>
  </r>
  <r>
    <x v="173"/>
    <x v="32"/>
    <s v="C137"/>
    <x v="2"/>
    <s v="P68"/>
    <n v="4"/>
    <n v="199"/>
    <x v="5"/>
    <x v="78"/>
    <s v="no"/>
    <x v="0"/>
    <s v="Yes"/>
    <s v="yes"/>
    <s v="No"/>
    <n v="6729"/>
    <s v="Normal"/>
  </r>
  <r>
    <x v="174"/>
    <x v="138"/>
    <s v="C105"/>
    <x v="4"/>
    <s v="P20"/>
    <n v="3"/>
    <n v="299"/>
    <x v="3"/>
    <x v="14"/>
    <s v="no"/>
    <x v="1"/>
    <s v="Yes"/>
    <s v="no"/>
    <s v="No"/>
    <n v="2244.3000000000002"/>
    <s v="Normal"/>
  </r>
  <r>
    <x v="175"/>
    <x v="112"/>
    <s v="C157"/>
    <x v="3"/>
    <s v="P96"/>
    <n v="4"/>
    <m/>
    <x v="0"/>
    <x v="1"/>
    <s v="no"/>
    <x v="0"/>
    <s v="Yes"/>
    <s v="no"/>
    <s v="No"/>
    <n v="799.2"/>
    <s v="Normal"/>
  </r>
  <r>
    <x v="176"/>
    <x v="139"/>
    <s v="C143"/>
    <x v="2"/>
    <s v="P68"/>
    <n v="4"/>
    <m/>
    <x v="4"/>
    <x v="1"/>
    <s v="no"/>
    <x v="1"/>
    <s v="No"/>
    <s v="no"/>
    <s v="No"/>
    <n v="0"/>
    <s v="Normal"/>
  </r>
  <r>
    <x v="177"/>
    <x v="140"/>
    <s v="C144"/>
    <x v="0"/>
    <s v="P91"/>
    <n v="1"/>
    <n v="499"/>
    <x v="0"/>
    <x v="44"/>
    <s v="no"/>
    <x v="0"/>
    <s v="Yes"/>
    <s v="no"/>
    <s v="No"/>
    <n v="6224.5"/>
    <s v="Normal"/>
  </r>
  <r>
    <x v="178"/>
    <x v="141"/>
    <s v="C131"/>
    <x v="1"/>
    <s v="P64"/>
    <n v="2"/>
    <n v="1499"/>
    <x v="5"/>
    <x v="57"/>
    <s v="yes"/>
    <x v="0"/>
    <s v="Yes"/>
    <s v="yes"/>
    <s v="Yes"/>
    <n v="3755.7"/>
    <s v="Normal"/>
  </r>
  <r>
    <x v="179"/>
    <x v="142"/>
    <s v="C144"/>
    <x v="2"/>
    <s v="P17"/>
    <n v="1"/>
    <m/>
    <x v="1"/>
    <x v="1"/>
    <s v="no"/>
    <x v="0"/>
    <s v="Yes"/>
    <s v="no"/>
    <s v="No"/>
    <n v="0"/>
    <s v="Normal"/>
  </r>
  <r>
    <x v="180"/>
    <x v="111"/>
    <s v="C160"/>
    <x v="3"/>
    <s v="P12"/>
    <n v="1"/>
    <n v="1499"/>
    <x v="3"/>
    <x v="9"/>
    <s v="yes"/>
    <x v="1"/>
    <s v="Yes"/>
    <s v="no"/>
    <s v="Yes"/>
    <n v="1668.15"/>
    <s v="Normal"/>
  </r>
  <r>
    <x v="181"/>
    <x v="143"/>
    <s v="C146"/>
    <x v="0"/>
    <s v="P22"/>
    <n v="4"/>
    <n v="1499"/>
    <x v="5"/>
    <x v="79"/>
    <s v="yes"/>
    <x v="0"/>
    <s v="Yes"/>
    <s v="yes"/>
    <s v="Yes"/>
    <n v="9215.9500000000007"/>
    <s v="Normal"/>
  </r>
  <r>
    <x v="182"/>
    <x v="144"/>
    <s v="C120"/>
    <x v="3"/>
    <s v="P17"/>
    <n v="2"/>
    <n v="499"/>
    <x v="5"/>
    <x v="31"/>
    <s v="no"/>
    <x v="0"/>
    <s v="No"/>
    <s v="yes"/>
    <s v="No"/>
    <n v="798.40000000000009"/>
    <s v="Normal"/>
  </r>
  <r>
    <x v="183"/>
    <x v="145"/>
    <s v="C179"/>
    <x v="3"/>
    <s v="P10"/>
    <n v="2"/>
    <n v="499"/>
    <x v="4"/>
    <x v="21"/>
    <s v="no"/>
    <x v="1"/>
    <s v="Yes"/>
    <s v="no"/>
    <s v="No"/>
    <n v="2894.2"/>
    <s v="Normal"/>
  </r>
  <r>
    <x v="184"/>
    <x v="146"/>
    <s v="C184"/>
    <x v="0"/>
    <s v="P65"/>
    <n v="1"/>
    <n v="499"/>
    <x v="3"/>
    <x v="13"/>
    <s v="no"/>
    <x v="1"/>
    <s v="No"/>
    <s v="no"/>
    <s v="No"/>
    <n v="499"/>
    <s v="Normal"/>
  </r>
  <r>
    <x v="185"/>
    <x v="138"/>
    <s v="C174"/>
    <x v="3"/>
    <s v="P22"/>
    <n v="2"/>
    <m/>
    <x v="4"/>
    <x v="1"/>
    <s v="no"/>
    <x v="1"/>
    <s v="Yes"/>
    <s v="no"/>
    <s v="No"/>
    <n v="2244.3000000000002"/>
    <s v="Normal"/>
  </r>
  <r>
    <x v="186"/>
    <x v="39"/>
    <s v="C135"/>
    <x v="0"/>
    <s v="P90"/>
    <n v="1"/>
    <n v="1999"/>
    <x v="3"/>
    <x v="60"/>
    <s v="yes"/>
    <x v="1"/>
    <s v="Yes"/>
    <s v="no"/>
    <s v="Yes"/>
    <n v="2997"/>
    <s v="Normal"/>
  </r>
  <r>
    <x v="187"/>
    <x v="147"/>
    <s v="C198"/>
    <x v="2"/>
    <s v="P82"/>
    <n v="1"/>
    <n v="499"/>
    <x v="4"/>
    <x v="13"/>
    <s v="no"/>
    <x v="1"/>
    <s v="No"/>
    <s v="no"/>
    <s v="No"/>
    <n v="499"/>
    <s v="Normal"/>
  </r>
  <r>
    <x v="188"/>
    <x v="104"/>
    <s v="C118"/>
    <x v="0"/>
    <s v="P50"/>
    <n v="3"/>
    <m/>
    <x v="0"/>
    <x v="1"/>
    <s v="no"/>
    <x v="0"/>
    <s v="Yes"/>
    <s v="no"/>
    <s v="No"/>
    <n v="2452.1999999999998"/>
    <s v="Normal"/>
  </r>
  <r>
    <x v="189"/>
    <x v="13"/>
    <s v="C119"/>
    <x v="0"/>
    <s v="P14"/>
    <n v="1"/>
    <n v="499"/>
    <x v="1"/>
    <x v="80"/>
    <s v="no"/>
    <x v="0"/>
    <s v="Yes"/>
    <s v="no"/>
    <s v="No"/>
    <n v="5519.05"/>
    <s v="Normal"/>
  </r>
  <r>
    <x v="190"/>
    <x v="148"/>
    <s v="C156"/>
    <x v="1"/>
    <s v="P64"/>
    <n v="3"/>
    <n v="999"/>
    <x v="1"/>
    <x v="81"/>
    <s v="yes"/>
    <x v="0"/>
    <s v="No"/>
    <s v="no"/>
    <s v="No"/>
    <n v="2547.4499999999998"/>
    <s v="Normal"/>
  </r>
  <r>
    <x v="191"/>
    <x v="126"/>
    <s v="C117"/>
    <x v="0"/>
    <s v="P47"/>
    <n v="1"/>
    <n v="1499"/>
    <x v="3"/>
    <x v="9"/>
    <s v="yes"/>
    <x v="1"/>
    <s v="Yes"/>
    <s v="no"/>
    <s v="Yes"/>
    <n v="2919.25"/>
    <s v="Normal"/>
  </r>
  <r>
    <x v="192"/>
    <x v="119"/>
    <s v="C146"/>
    <x v="0"/>
    <s v="P29"/>
    <n v="1"/>
    <n v="499"/>
    <x v="2"/>
    <x v="82"/>
    <s v="no"/>
    <x v="0"/>
    <s v="Yes"/>
    <s v="no"/>
    <s v="No"/>
    <n v="7568.65"/>
    <s v="Normal"/>
  </r>
  <r>
    <x v="193"/>
    <x v="141"/>
    <s v="C148"/>
    <x v="2"/>
    <s v="P76"/>
    <n v="1"/>
    <n v="199"/>
    <x v="5"/>
    <x v="83"/>
    <s v="no"/>
    <x v="0"/>
    <s v="Yes"/>
    <s v="yes"/>
    <s v="No"/>
    <n v="3755.7"/>
    <s v="Normal"/>
  </r>
  <r>
    <x v="194"/>
    <x v="149"/>
    <s v="C113"/>
    <x v="1"/>
    <s v="P36"/>
    <n v="3"/>
    <n v="1499"/>
    <x v="5"/>
    <x v="84"/>
    <s v="yes"/>
    <x v="0"/>
    <s v="Yes"/>
    <s v="yes"/>
    <s v="Yes"/>
    <n v="6469.25"/>
    <s v="Normal"/>
  </r>
  <r>
    <x v="195"/>
    <x v="150"/>
    <s v="C114"/>
    <x v="4"/>
    <s v="P99"/>
    <n v="3"/>
    <n v="1499"/>
    <x v="3"/>
    <x v="17"/>
    <s v="yes"/>
    <x v="1"/>
    <s v="Yes"/>
    <s v="no"/>
    <s v="Yes"/>
    <n v="8387"/>
    <s v="Normal"/>
  </r>
  <r>
    <x v="196"/>
    <x v="145"/>
    <s v="C130"/>
    <x v="2"/>
    <s v="P52"/>
    <n v="2"/>
    <n v="499"/>
    <x v="4"/>
    <x v="21"/>
    <s v="no"/>
    <x v="1"/>
    <s v="Yes"/>
    <s v="no"/>
    <s v="No"/>
    <n v="2894.2"/>
    <s v="Normal"/>
  </r>
  <r>
    <x v="197"/>
    <x v="118"/>
    <s v="C100"/>
    <x v="2"/>
    <s v="P76"/>
    <n v="2"/>
    <n v="1999"/>
    <x v="2"/>
    <x v="59"/>
    <s v="yes"/>
    <x v="0"/>
    <s v="Yes"/>
    <s v="no"/>
    <s v="Yes"/>
    <n v="3798.1"/>
    <s v="Normal"/>
  </r>
  <r>
    <x v="198"/>
    <x v="97"/>
    <s v="C153"/>
    <x v="4"/>
    <s v="P7"/>
    <n v="3"/>
    <n v="299"/>
    <x v="0"/>
    <x v="66"/>
    <s v="no"/>
    <x v="0"/>
    <s v="Yes"/>
    <s v="no"/>
    <s v="No"/>
    <n v="1206.5"/>
    <s v="Normal"/>
  </r>
  <r>
    <x v="199"/>
    <x v="151"/>
    <s v="C102"/>
    <x v="0"/>
    <s v="P29"/>
    <n v="0"/>
    <n v="1999"/>
    <x v="4"/>
    <x v="8"/>
    <s v="no"/>
    <x v="1"/>
    <s v="No"/>
    <s v="no"/>
    <s v="No"/>
    <n v="0"/>
    <s v="Normal"/>
  </r>
  <r>
    <x v="200"/>
    <x v="150"/>
    <s v="C115"/>
    <x v="3"/>
    <s v="P11"/>
    <n v="2"/>
    <n v="499"/>
    <x v="4"/>
    <x v="21"/>
    <s v="no"/>
    <x v="1"/>
    <s v="Yes"/>
    <s v="no"/>
    <s v="No"/>
    <n v="8387"/>
    <s v="Normal"/>
  </r>
  <r>
    <x v="201"/>
    <x v="107"/>
    <s v="C186"/>
    <x v="1"/>
    <s v="P33"/>
    <n v="4"/>
    <n v="1499"/>
    <x v="3"/>
    <x v="69"/>
    <s v="yes"/>
    <x v="1"/>
    <s v="Yes"/>
    <s v="no"/>
    <s v="Yes"/>
    <n v="8993"/>
    <s v="Outlier"/>
  </r>
  <r>
    <x v="202"/>
    <x v="150"/>
    <s v="C156"/>
    <x v="3"/>
    <s v="P6"/>
    <n v="3"/>
    <n v="199"/>
    <x v="3"/>
    <x v="72"/>
    <s v="no"/>
    <x v="1"/>
    <s v="Yes"/>
    <s v="no"/>
    <s v="No"/>
    <n v="8387"/>
    <s v="Normal"/>
  </r>
  <r>
    <x v="203"/>
    <x v="56"/>
    <s v="C174"/>
    <x v="4"/>
    <s v="P79"/>
    <n v="2"/>
    <n v="1499"/>
    <x v="5"/>
    <x v="57"/>
    <s v="yes"/>
    <x v="0"/>
    <s v="Yes"/>
    <s v="yes"/>
    <s v="Yes"/>
    <n v="4393.8"/>
    <s v="Normal"/>
  </r>
  <r>
    <x v="204"/>
    <x v="127"/>
    <s v="C111"/>
    <x v="2"/>
    <s v="P32"/>
    <n v="5"/>
    <n v="1999"/>
    <x v="3"/>
    <x v="45"/>
    <s v="yes"/>
    <x v="1"/>
    <s v="Yes"/>
    <s v="no"/>
    <s v="Yes"/>
    <n v="11292"/>
    <s v="Outlier"/>
  </r>
  <r>
    <x v="205"/>
    <x v="150"/>
    <s v="C173"/>
    <x v="2"/>
    <s v="P51"/>
    <n v="4"/>
    <n v="199"/>
    <x v="3"/>
    <x v="85"/>
    <s v="no"/>
    <x v="1"/>
    <s v="Yes"/>
    <s v="no"/>
    <s v="No"/>
    <n v="8387"/>
    <s v="Normal"/>
  </r>
  <r>
    <x v="206"/>
    <x v="58"/>
    <s v="C195"/>
    <x v="1"/>
    <s v="P75"/>
    <n v="1"/>
    <m/>
    <x v="3"/>
    <x v="1"/>
    <s v="no"/>
    <x v="1"/>
    <s v="Yes"/>
    <s v="no"/>
    <s v="No"/>
    <n v="1699.15"/>
    <s v="Normal"/>
  </r>
  <r>
    <x v="207"/>
    <x v="152"/>
    <s v="C115"/>
    <x v="2"/>
    <s v="P58"/>
    <n v="3"/>
    <n v="999"/>
    <x v="5"/>
    <x v="86"/>
    <s v="yes"/>
    <x v="0"/>
    <s v="Yes"/>
    <s v="yes"/>
    <s v="Yes"/>
    <n v="4194"/>
    <s v="Normal"/>
  </r>
  <r>
    <x v="208"/>
    <x v="153"/>
    <s v="C171"/>
    <x v="2"/>
    <s v="P87"/>
    <n v="3"/>
    <n v="1499"/>
    <x v="0"/>
    <x v="28"/>
    <s v="yes"/>
    <x v="0"/>
    <s v="Yes"/>
    <s v="no"/>
    <s v="Yes"/>
    <n v="10044.299999999999"/>
    <s v="Normal"/>
  </r>
  <r>
    <x v="209"/>
    <x v="59"/>
    <s v="C175"/>
    <x v="1"/>
    <s v="P26"/>
    <n v="2"/>
    <n v="499"/>
    <x v="0"/>
    <x v="73"/>
    <s v="no"/>
    <x v="0"/>
    <s v="Yes"/>
    <s v="no"/>
    <s v="No"/>
    <n v="6687.6"/>
    <s v="Normal"/>
  </r>
  <r>
    <x v="210"/>
    <x v="154"/>
    <s v="C123"/>
    <x v="1"/>
    <s v="P98"/>
    <n v="2"/>
    <m/>
    <x v="3"/>
    <x v="1"/>
    <s v="no"/>
    <x v="1"/>
    <s v="No"/>
    <s v="no"/>
    <s v="No"/>
    <n v="0"/>
    <s v="Normal"/>
  </r>
  <r>
    <x v="211"/>
    <x v="155"/>
    <s v="C127"/>
    <x v="4"/>
    <s v="P46"/>
    <n v="2"/>
    <n v="999"/>
    <x v="5"/>
    <x v="48"/>
    <s v="yes"/>
    <x v="0"/>
    <s v="No"/>
    <s v="yes"/>
    <s v="No"/>
    <n v="1598.4"/>
    <s v="Normal"/>
  </r>
  <r>
    <x v="212"/>
    <x v="138"/>
    <s v="C107"/>
    <x v="2"/>
    <s v="P98"/>
    <n v="3"/>
    <n v="499"/>
    <x v="0"/>
    <x v="58"/>
    <s v="no"/>
    <x v="0"/>
    <s v="Yes"/>
    <s v="no"/>
    <s v="No"/>
    <n v="2244.3000000000002"/>
    <s v="Normal"/>
  </r>
  <r>
    <x v="213"/>
    <x v="156"/>
    <s v="C191"/>
    <x v="2"/>
    <s v="P29"/>
    <n v="2"/>
    <n v="299"/>
    <x v="4"/>
    <x v="61"/>
    <s v="no"/>
    <x v="1"/>
    <s v="Yes"/>
    <s v="no"/>
    <s v="No"/>
    <n v="1165.1500000000001"/>
    <s v="Normal"/>
  </r>
  <r>
    <x v="214"/>
    <x v="152"/>
    <s v="C135"/>
    <x v="4"/>
    <s v="P4"/>
    <n v="4"/>
    <n v="499"/>
    <x v="0"/>
    <x v="32"/>
    <s v="yes"/>
    <x v="0"/>
    <s v="Yes"/>
    <s v="no"/>
    <s v="Yes"/>
    <n v="4194"/>
    <s v="Normal"/>
  </r>
  <r>
    <x v="215"/>
    <x v="50"/>
    <s v="C189"/>
    <x v="0"/>
    <s v="P81"/>
    <n v="3"/>
    <n v="199"/>
    <x v="0"/>
    <x v="87"/>
    <s v="no"/>
    <x v="0"/>
    <s v="Yes"/>
    <s v="no"/>
    <s v="No"/>
    <n v="3531.3"/>
    <s v="Normal"/>
  </r>
  <r>
    <x v="216"/>
    <x v="104"/>
    <s v="C107"/>
    <x v="0"/>
    <s v="P99"/>
    <n v="1"/>
    <n v="199"/>
    <x v="5"/>
    <x v="83"/>
    <s v="no"/>
    <x v="0"/>
    <s v="Yes"/>
    <s v="yes"/>
    <s v="No"/>
    <n v="2452.1999999999998"/>
    <s v="Normal"/>
  </r>
  <r>
    <x v="217"/>
    <x v="64"/>
    <s v="C157"/>
    <x v="0"/>
    <s v="P13"/>
    <n v="3"/>
    <n v="299"/>
    <x v="4"/>
    <x v="14"/>
    <s v="no"/>
    <x v="1"/>
    <s v="Yes"/>
    <s v="no"/>
    <s v="No"/>
    <n v="6171.7"/>
    <s v="Normal"/>
  </r>
  <r>
    <x v="218"/>
    <x v="126"/>
    <s v="C159"/>
    <x v="4"/>
    <s v="P39"/>
    <n v="1"/>
    <m/>
    <x v="5"/>
    <x v="1"/>
    <s v="no"/>
    <x v="0"/>
    <s v="Yes"/>
    <s v="yes"/>
    <s v="No"/>
    <n v="2919.25"/>
    <s v="Normal"/>
  </r>
  <r>
    <x v="219"/>
    <x v="143"/>
    <s v="C149"/>
    <x v="2"/>
    <s v="P15"/>
    <n v="3"/>
    <n v="999"/>
    <x v="3"/>
    <x v="26"/>
    <s v="yes"/>
    <x v="1"/>
    <s v="Yes"/>
    <s v="no"/>
    <s v="Yes"/>
    <n v="9215.9500000000007"/>
    <s v="Normal"/>
  </r>
  <r>
    <x v="220"/>
    <x v="157"/>
    <s v="C127"/>
    <x v="4"/>
    <s v="P29"/>
    <n v="3"/>
    <n v="499"/>
    <x v="1"/>
    <x v="88"/>
    <s v="no"/>
    <x v="0"/>
    <s v="Yes"/>
    <s v="no"/>
    <s v="No"/>
    <n v="3071.55"/>
    <s v="Normal"/>
  </r>
  <r>
    <x v="221"/>
    <x v="158"/>
    <s v="C191"/>
    <x v="4"/>
    <s v="P29"/>
    <n v="1"/>
    <n v="199"/>
    <x v="0"/>
    <x v="11"/>
    <s v="no"/>
    <x v="0"/>
    <s v="No"/>
    <s v="no"/>
    <s v="No"/>
    <n v="179.1"/>
    <s v="Normal"/>
  </r>
  <r>
    <x v="222"/>
    <x v="159"/>
    <s v="C140"/>
    <x v="0"/>
    <s v="P75"/>
    <n v="2"/>
    <m/>
    <x v="1"/>
    <x v="1"/>
    <s v="no"/>
    <x v="0"/>
    <s v="No"/>
    <s v="no"/>
    <s v="No"/>
    <n v="0"/>
    <s v="Normal"/>
  </r>
  <r>
    <x v="223"/>
    <x v="160"/>
    <s v="C199"/>
    <x v="3"/>
    <s v="P32"/>
    <n v="1"/>
    <n v="299"/>
    <x v="5"/>
    <x v="89"/>
    <s v="no"/>
    <x v="0"/>
    <s v="No"/>
    <s v="yes"/>
    <s v="No"/>
    <n v="239.2"/>
    <s v="Normal"/>
  </r>
  <r>
    <x v="224"/>
    <x v="161"/>
    <s v="C163"/>
    <x v="2"/>
    <s v="P2"/>
    <n v="1"/>
    <n v="1999"/>
    <x v="5"/>
    <x v="90"/>
    <s v="yes"/>
    <x v="0"/>
    <s v="No"/>
    <s v="yes"/>
    <s v="No"/>
    <n v="1599.2"/>
    <s v="Normal"/>
  </r>
  <r>
    <x v="225"/>
    <x v="110"/>
    <s v="C126"/>
    <x v="0"/>
    <s v="P47"/>
    <n v="2"/>
    <n v="1499"/>
    <x v="5"/>
    <x v="57"/>
    <s v="yes"/>
    <x v="0"/>
    <s v="Yes"/>
    <s v="yes"/>
    <s v="Yes"/>
    <n v="2398.4"/>
    <s v="Normal"/>
  </r>
  <r>
    <x v="226"/>
    <x v="19"/>
    <s v="C162"/>
    <x v="3"/>
    <s v="P78"/>
    <n v="2"/>
    <n v="1999"/>
    <x v="1"/>
    <x v="15"/>
    <s v="yes"/>
    <x v="0"/>
    <s v="Yes"/>
    <s v="no"/>
    <s v="Yes"/>
    <n v="3398.3"/>
    <s v="Normal"/>
  </r>
  <r>
    <x v="227"/>
    <x v="77"/>
    <s v="C116"/>
    <x v="3"/>
    <s v="P84"/>
    <m/>
    <n v="1999"/>
    <x v="5"/>
    <x v="1"/>
    <s v="no"/>
    <x v="0"/>
    <s v="Yes"/>
    <s v="yes"/>
    <s v="No"/>
    <n v="8893.6999999999989"/>
    <s v="Normal"/>
  </r>
  <r>
    <x v="228"/>
    <x v="162"/>
    <s v="C172"/>
    <x v="1"/>
    <s v="P22"/>
    <n v="2"/>
    <n v="199"/>
    <x v="3"/>
    <x v="40"/>
    <s v="no"/>
    <x v="1"/>
    <s v="Yes"/>
    <s v="no"/>
    <s v="No"/>
    <n v="2701.8500000000004"/>
    <s v="Normal"/>
  </r>
  <r>
    <x v="229"/>
    <x v="163"/>
    <s v="C132"/>
    <x v="2"/>
    <s v="P75"/>
    <n v="2"/>
    <n v="299"/>
    <x v="5"/>
    <x v="53"/>
    <s v="no"/>
    <x v="0"/>
    <s v="No"/>
    <s v="yes"/>
    <s v="No"/>
    <n v="478.4"/>
    <s v="Normal"/>
  </r>
  <r>
    <x v="230"/>
    <x v="143"/>
    <s v="C183"/>
    <x v="3"/>
    <s v="P27"/>
    <n v="3"/>
    <n v="499"/>
    <x v="2"/>
    <x v="76"/>
    <s v="yes"/>
    <x v="0"/>
    <s v="Yes"/>
    <s v="no"/>
    <s v="Yes"/>
    <n v="9215.9500000000007"/>
    <s v="Normal"/>
  </r>
  <r>
    <x v="231"/>
    <x v="164"/>
    <s v="C176"/>
    <x v="0"/>
    <s v="P67"/>
    <n v="1"/>
    <n v="1999"/>
    <x v="1"/>
    <x v="34"/>
    <s v="yes"/>
    <x v="0"/>
    <s v="No"/>
    <s v="no"/>
    <s v="No"/>
    <n v="1699.15"/>
    <s v="Normal"/>
  </r>
  <r>
    <x v="232"/>
    <x v="165"/>
    <s v="C191"/>
    <x v="1"/>
    <s v="P81"/>
    <m/>
    <n v="1999"/>
    <x v="2"/>
    <x v="1"/>
    <s v="no"/>
    <x v="0"/>
    <s v="Yes"/>
    <s v="no"/>
    <s v="No"/>
    <n v="3092.35"/>
    <s v="Normal"/>
  </r>
  <r>
    <x v="233"/>
    <x v="166"/>
    <s v="C128"/>
    <x v="2"/>
    <s v="P56"/>
    <n v="3"/>
    <n v="999"/>
    <x v="5"/>
    <x v="86"/>
    <s v="yes"/>
    <x v="0"/>
    <s v="Yes"/>
    <s v="yes"/>
    <s v="Yes"/>
    <n v="7495.0499999999993"/>
    <s v="Normal"/>
  </r>
  <r>
    <x v="234"/>
    <x v="95"/>
    <s v="C112"/>
    <x v="4"/>
    <s v="P92"/>
    <n v="4"/>
    <n v="199"/>
    <x v="3"/>
    <x v="85"/>
    <s v="no"/>
    <x v="1"/>
    <s v="Yes"/>
    <s v="no"/>
    <s v="No"/>
    <n v="1812.6"/>
    <s v="Normal"/>
  </r>
  <r>
    <x v="235"/>
    <x v="167"/>
    <s v="C145"/>
    <x v="0"/>
    <s v="P93"/>
    <n v="1"/>
    <n v="199"/>
    <x v="0"/>
    <x v="11"/>
    <s v="no"/>
    <x v="0"/>
    <s v="Yes"/>
    <s v="no"/>
    <s v="No"/>
    <n v="179.1"/>
    <s v="Normal"/>
  </r>
  <r>
    <x v="236"/>
    <x v="127"/>
    <s v="C134"/>
    <x v="3"/>
    <s v="P21"/>
    <n v="2"/>
    <n v="499"/>
    <x v="4"/>
    <x v="21"/>
    <s v="no"/>
    <x v="1"/>
    <s v="Yes"/>
    <s v="no"/>
    <s v="No"/>
    <n v="11292"/>
    <s v="Normal"/>
  </r>
  <r>
    <x v="237"/>
    <x v="168"/>
    <s v="C105"/>
    <x v="3"/>
    <s v="P47"/>
    <n v="2"/>
    <n v="1499"/>
    <x v="4"/>
    <x v="4"/>
    <s v="yes"/>
    <x v="1"/>
    <s v="Yes"/>
    <s v="no"/>
    <s v="Yes"/>
    <n v="4272.1499999999996"/>
    <s v="Normal"/>
  </r>
  <r>
    <x v="238"/>
    <x v="1"/>
    <s v="C181"/>
    <x v="0"/>
    <s v="P80"/>
    <n v="4"/>
    <m/>
    <x v="5"/>
    <x v="1"/>
    <s v="no"/>
    <x v="0"/>
    <s v="Yes"/>
    <s v="yes"/>
    <s v="No"/>
    <n v="7282.8"/>
    <s v="Normal"/>
  </r>
  <r>
    <x v="239"/>
    <x v="142"/>
    <s v="C168"/>
    <x v="3"/>
    <s v="P59"/>
    <n v="0"/>
    <n v="999"/>
    <x v="3"/>
    <x v="8"/>
    <s v="no"/>
    <x v="1"/>
    <s v="Yes"/>
    <s v="no"/>
    <s v="No"/>
    <n v="0"/>
    <s v="Normal"/>
  </r>
  <r>
    <x v="240"/>
    <x v="169"/>
    <s v="C146"/>
    <x v="1"/>
    <s v="P84"/>
    <n v="2"/>
    <n v="199"/>
    <x v="1"/>
    <x v="65"/>
    <s v="no"/>
    <x v="0"/>
    <s v="Yes"/>
    <s v="no"/>
    <s v="No"/>
    <n v="592.45000000000005"/>
    <s v="Normal"/>
  </r>
  <r>
    <x v="241"/>
    <x v="71"/>
    <s v="C124"/>
    <x v="2"/>
    <s v="P6"/>
    <m/>
    <n v="999"/>
    <x v="2"/>
    <x v="1"/>
    <s v="no"/>
    <x v="0"/>
    <s v="Yes"/>
    <s v="no"/>
    <s v="No"/>
    <n v="3694.7"/>
    <s v="Normal"/>
  </r>
  <r>
    <x v="242"/>
    <x v="49"/>
    <s v="C165"/>
    <x v="1"/>
    <s v="P19"/>
    <n v="2"/>
    <n v="199"/>
    <x v="2"/>
    <x v="91"/>
    <s v="no"/>
    <x v="0"/>
    <s v="Yes"/>
    <s v="no"/>
    <s v="No"/>
    <n v="3653.7"/>
    <s v="Normal"/>
  </r>
  <r>
    <x v="243"/>
    <x v="170"/>
    <s v="C109"/>
    <x v="3"/>
    <s v="P57"/>
    <n v="2"/>
    <n v="999"/>
    <x v="2"/>
    <x v="92"/>
    <s v="yes"/>
    <x v="0"/>
    <s v="Yes"/>
    <s v="no"/>
    <s v="Yes"/>
    <n v="12043.649999999998"/>
    <s v="Normal"/>
  </r>
  <r>
    <x v="244"/>
    <x v="169"/>
    <s v="C155"/>
    <x v="4"/>
    <s v="P69"/>
    <n v="1"/>
    <n v="299"/>
    <x v="1"/>
    <x v="93"/>
    <s v="no"/>
    <x v="0"/>
    <s v="Yes"/>
    <s v="no"/>
    <s v="No"/>
    <n v="592.45000000000005"/>
    <s v="Normal"/>
  </r>
  <r>
    <x v="245"/>
    <x v="116"/>
    <s v="C129"/>
    <x v="2"/>
    <s v="P3"/>
    <m/>
    <n v="1999"/>
    <x v="4"/>
    <x v="1"/>
    <s v="no"/>
    <x v="1"/>
    <s v="Yes"/>
    <s v="no"/>
    <s v="No"/>
    <n v="799.2"/>
    <s v="Normal"/>
  </r>
  <r>
    <x v="246"/>
    <x v="171"/>
    <s v="C104"/>
    <x v="2"/>
    <s v="P1"/>
    <n v="0"/>
    <n v="199"/>
    <x v="3"/>
    <x v="8"/>
    <s v="no"/>
    <x v="1"/>
    <s v="No"/>
    <s v="no"/>
    <s v="No"/>
    <n v="0"/>
    <s v="Normal"/>
  </r>
  <r>
    <x v="247"/>
    <x v="172"/>
    <s v="C132"/>
    <x v="0"/>
    <s v="P58"/>
    <n v="3"/>
    <n v="999"/>
    <x v="1"/>
    <x v="81"/>
    <s v="yes"/>
    <x v="0"/>
    <s v="Yes"/>
    <s v="no"/>
    <s v="Yes"/>
    <n v="4443.6499999999996"/>
    <s v="Normal"/>
  </r>
  <r>
    <x v="248"/>
    <x v="136"/>
    <s v="C164"/>
    <x v="0"/>
    <s v="P38"/>
    <n v="4"/>
    <m/>
    <x v="2"/>
    <x v="1"/>
    <s v="no"/>
    <x v="0"/>
    <s v="Yes"/>
    <s v="no"/>
    <s v="No"/>
    <n v="1897"/>
    <s v="Normal"/>
  </r>
  <r>
    <x v="249"/>
    <x v="173"/>
    <s v="C117"/>
    <x v="4"/>
    <s v="P15"/>
    <n v="1"/>
    <n v="299"/>
    <x v="5"/>
    <x v="89"/>
    <s v="no"/>
    <x v="0"/>
    <s v="Yes"/>
    <s v="yes"/>
    <s v="No"/>
    <n v="1737.2"/>
    <s v="Normal"/>
  </r>
  <r>
    <x v="250"/>
    <x v="76"/>
    <s v="C195"/>
    <x v="2"/>
    <s v="P34"/>
    <n v="3"/>
    <n v="299"/>
    <x v="0"/>
    <x v="66"/>
    <s v="no"/>
    <x v="0"/>
    <s v="Yes"/>
    <s v="no"/>
    <s v="No"/>
    <n v="3805.3"/>
    <s v="Normal"/>
  </r>
  <r>
    <x v="251"/>
    <x v="12"/>
    <s v="C148"/>
    <x v="4"/>
    <s v="P61"/>
    <n v="1"/>
    <m/>
    <x v="1"/>
    <x v="1"/>
    <s v="no"/>
    <x v="0"/>
    <s v="Yes"/>
    <s v="no"/>
    <s v="No"/>
    <n v="11794.1"/>
    <s v="Normal"/>
  </r>
  <r>
    <x v="252"/>
    <x v="86"/>
    <s v="C110"/>
    <x v="0"/>
    <s v="P35"/>
    <n v="1"/>
    <n v="999"/>
    <x v="1"/>
    <x v="94"/>
    <s v="no"/>
    <x v="0"/>
    <s v="Yes"/>
    <s v="no"/>
    <s v="No"/>
    <n v="5564.75"/>
    <s v="Normal"/>
  </r>
  <r>
    <x v="253"/>
    <x v="174"/>
    <s v="C184"/>
    <x v="0"/>
    <s v="P64"/>
    <n v="4"/>
    <n v="499"/>
    <x v="3"/>
    <x v="95"/>
    <s v="yes"/>
    <x v="1"/>
    <s v="No"/>
    <s v="no"/>
    <s v="No"/>
    <n v="1996"/>
    <s v="Normal"/>
  </r>
  <r>
    <x v="254"/>
    <x v="175"/>
    <s v="C125"/>
    <x v="2"/>
    <s v="P25"/>
    <n v="4"/>
    <m/>
    <x v="3"/>
    <x v="1"/>
    <s v="no"/>
    <x v="1"/>
    <s v="Yes"/>
    <s v="no"/>
    <s v="No"/>
    <n v="1999"/>
    <s v="Normal"/>
  </r>
  <r>
    <x v="255"/>
    <x v="176"/>
    <s v="C162"/>
    <x v="1"/>
    <s v="P24"/>
    <n v="3"/>
    <n v="999"/>
    <x v="1"/>
    <x v="81"/>
    <s v="yes"/>
    <x v="0"/>
    <s v="No"/>
    <s v="no"/>
    <s v="No"/>
    <n v="2547.4499999999998"/>
    <s v="Normal"/>
  </r>
  <r>
    <x v="256"/>
    <x v="103"/>
    <s v="C188"/>
    <x v="3"/>
    <s v="P12"/>
    <n v="2"/>
    <m/>
    <x v="2"/>
    <x v="1"/>
    <s v="no"/>
    <x v="0"/>
    <s v="Yes"/>
    <s v="no"/>
    <s v="No"/>
    <n v="14336.099999999999"/>
    <s v="Normal"/>
  </r>
  <r>
    <x v="257"/>
    <x v="177"/>
    <s v="C185"/>
    <x v="0"/>
    <s v="P18"/>
    <n v="1"/>
    <m/>
    <x v="0"/>
    <x v="1"/>
    <s v="no"/>
    <x v="0"/>
    <s v="No"/>
    <s v="no"/>
    <s v="No"/>
    <n v="0"/>
    <s v="Normal"/>
  </r>
  <r>
    <x v="258"/>
    <x v="71"/>
    <s v="C158"/>
    <x v="0"/>
    <s v="P15"/>
    <n v="1"/>
    <n v="199"/>
    <x v="3"/>
    <x v="22"/>
    <s v="no"/>
    <x v="1"/>
    <s v="Yes"/>
    <s v="no"/>
    <s v="No"/>
    <n v="3694.7"/>
    <s v="Normal"/>
  </r>
  <r>
    <x v="259"/>
    <x v="165"/>
    <s v="C126"/>
    <x v="1"/>
    <s v="P80"/>
    <n v="1"/>
    <n v="999"/>
    <x v="2"/>
    <x v="29"/>
    <s v="no"/>
    <x v="0"/>
    <s v="Yes"/>
    <s v="no"/>
    <s v="No"/>
    <n v="3092.35"/>
    <s v="Normal"/>
  </r>
  <r>
    <x v="260"/>
    <x v="49"/>
    <s v="C148"/>
    <x v="1"/>
    <s v="P27"/>
    <n v="1"/>
    <n v="499"/>
    <x v="5"/>
    <x v="43"/>
    <s v="no"/>
    <x v="0"/>
    <s v="Yes"/>
    <s v="yes"/>
    <s v="No"/>
    <n v="3653.7"/>
    <s v="Normal"/>
  </r>
  <r>
    <x v="261"/>
    <x v="178"/>
    <s v="C176"/>
    <x v="4"/>
    <s v="P72"/>
    <n v="2"/>
    <n v="1999"/>
    <x v="3"/>
    <x v="50"/>
    <s v="yes"/>
    <x v="1"/>
    <s v="Yes"/>
    <s v="no"/>
    <s v="Yes"/>
    <n v="4997"/>
    <s v="Normal"/>
  </r>
  <r>
    <x v="262"/>
    <x v="179"/>
    <s v="C132"/>
    <x v="4"/>
    <s v="P60"/>
    <n v="2"/>
    <n v="199"/>
    <x v="2"/>
    <x v="91"/>
    <s v="no"/>
    <x v="0"/>
    <s v="Yes"/>
    <s v="no"/>
    <s v="No"/>
    <n v="378.1"/>
    <s v="Normal"/>
  </r>
  <r>
    <x v="263"/>
    <x v="58"/>
    <s v="C197"/>
    <x v="3"/>
    <s v="P46"/>
    <n v="2"/>
    <m/>
    <x v="2"/>
    <x v="1"/>
    <s v="no"/>
    <x v="0"/>
    <s v="Yes"/>
    <s v="no"/>
    <s v="No"/>
    <n v="1699.15"/>
    <s v="Normal"/>
  </r>
  <r>
    <x v="264"/>
    <x v="70"/>
    <s v="C198"/>
    <x v="3"/>
    <s v="P89"/>
    <n v="1"/>
    <n v="1999"/>
    <x v="0"/>
    <x v="19"/>
    <s v="yes"/>
    <x v="0"/>
    <s v="Yes"/>
    <s v="no"/>
    <s v="Yes"/>
    <n v="14386.9"/>
    <s v="Normal"/>
  </r>
  <r>
    <x v="265"/>
    <x v="180"/>
    <s v="C100"/>
    <x v="2"/>
    <s v="P17"/>
    <n v="2"/>
    <n v="1499"/>
    <x v="0"/>
    <x v="96"/>
    <s v="yes"/>
    <x v="0"/>
    <s v="Yes"/>
    <s v="no"/>
    <s v="Yes"/>
    <n v="2698.2"/>
    <s v="Normal"/>
  </r>
  <r>
    <x v="266"/>
    <x v="181"/>
    <s v="C120"/>
    <x v="4"/>
    <s v="P93"/>
    <n v="4"/>
    <n v="1999"/>
    <x v="5"/>
    <x v="97"/>
    <s v="yes"/>
    <x v="0"/>
    <s v="No"/>
    <s v="yes"/>
    <s v="No"/>
    <n v="6396.8"/>
    <s v="Outlier"/>
  </r>
  <r>
    <x v="267"/>
    <x v="182"/>
    <s v="C154"/>
    <x v="0"/>
    <s v="P53"/>
    <n v="1"/>
    <m/>
    <x v="2"/>
    <x v="1"/>
    <s v="no"/>
    <x v="0"/>
    <s v="Yes"/>
    <s v="no"/>
    <s v="No"/>
    <n v="499"/>
    <s v="Normal"/>
  </r>
  <r>
    <x v="268"/>
    <x v="126"/>
    <s v="C105"/>
    <x v="4"/>
    <s v="P8"/>
    <n v="5"/>
    <m/>
    <x v="4"/>
    <x v="1"/>
    <s v="no"/>
    <x v="1"/>
    <s v="Yes"/>
    <s v="no"/>
    <s v="No"/>
    <n v="2919.25"/>
    <s v="Normal"/>
  </r>
  <r>
    <x v="269"/>
    <x v="85"/>
    <s v="C191"/>
    <x v="0"/>
    <s v="P79"/>
    <n v="4"/>
    <n v="999"/>
    <x v="2"/>
    <x v="98"/>
    <s v="yes"/>
    <x v="0"/>
    <s v="Yes"/>
    <s v="no"/>
    <s v="Yes"/>
    <n v="4794.2"/>
    <s v="Normal"/>
  </r>
  <r>
    <x v="270"/>
    <x v="141"/>
    <s v="C180"/>
    <x v="1"/>
    <s v="P27"/>
    <n v="1"/>
    <n v="999"/>
    <x v="0"/>
    <x v="12"/>
    <s v="no"/>
    <x v="0"/>
    <s v="Yes"/>
    <s v="no"/>
    <s v="No"/>
    <n v="3755.7"/>
    <s v="Normal"/>
  </r>
  <r>
    <x v="271"/>
    <x v="103"/>
    <s v="C168"/>
    <x v="4"/>
    <s v="P46"/>
    <n v="4"/>
    <n v="199"/>
    <x v="4"/>
    <x v="85"/>
    <s v="no"/>
    <x v="1"/>
    <s v="Yes"/>
    <s v="no"/>
    <s v="No"/>
    <n v="14336.099999999999"/>
    <s v="Normal"/>
  </r>
  <r>
    <x v="272"/>
    <x v="170"/>
    <s v="C194"/>
    <x v="1"/>
    <s v="P50"/>
    <n v="3"/>
    <n v="499"/>
    <x v="3"/>
    <x v="3"/>
    <s v="yes"/>
    <x v="1"/>
    <s v="Yes"/>
    <s v="no"/>
    <s v="Yes"/>
    <n v="12043.649999999998"/>
    <s v="Normal"/>
  </r>
  <r>
    <x v="273"/>
    <x v="70"/>
    <s v="C104"/>
    <x v="3"/>
    <s v="P71"/>
    <n v="3"/>
    <n v="199"/>
    <x v="3"/>
    <x v="72"/>
    <s v="no"/>
    <x v="1"/>
    <s v="Yes"/>
    <s v="no"/>
    <s v="No"/>
    <n v="14386.9"/>
    <s v="Normal"/>
  </r>
  <r>
    <x v="274"/>
    <x v="74"/>
    <s v="C102"/>
    <x v="3"/>
    <s v="P3"/>
    <n v="2"/>
    <n v="299"/>
    <x v="1"/>
    <x v="99"/>
    <s v="no"/>
    <x v="0"/>
    <s v="Yes"/>
    <s v="no"/>
    <s v="No"/>
    <n v="1225.9000000000001"/>
    <s v="Normal"/>
  </r>
  <r>
    <x v="275"/>
    <x v="14"/>
    <s v="C152"/>
    <x v="2"/>
    <s v="P93"/>
    <n v="2"/>
    <m/>
    <x v="0"/>
    <x v="1"/>
    <s v="no"/>
    <x v="0"/>
    <s v="Yes"/>
    <s v="no"/>
    <s v="No"/>
    <n v="2495"/>
    <s v="Normal"/>
  </r>
  <r>
    <x v="276"/>
    <x v="13"/>
    <s v="C122"/>
    <x v="4"/>
    <s v="P64"/>
    <n v="2"/>
    <n v="1999"/>
    <x v="1"/>
    <x v="15"/>
    <s v="yes"/>
    <x v="0"/>
    <s v="Yes"/>
    <s v="no"/>
    <s v="Yes"/>
    <n v="5519.05"/>
    <s v="Normal"/>
  </r>
  <r>
    <x v="277"/>
    <x v="59"/>
    <s v="C152"/>
    <x v="1"/>
    <s v="P44"/>
    <n v="2"/>
    <n v="1499"/>
    <x v="4"/>
    <x v="4"/>
    <s v="yes"/>
    <x v="1"/>
    <s v="Yes"/>
    <s v="no"/>
    <s v="Yes"/>
    <n v="6687.6"/>
    <s v="Normal"/>
  </r>
  <r>
    <x v="278"/>
    <x v="183"/>
    <s v="C136"/>
    <x v="0"/>
    <s v="P53"/>
    <n v="3"/>
    <m/>
    <x v="0"/>
    <x v="1"/>
    <s v="no"/>
    <x v="0"/>
    <s v="Yes"/>
    <s v="no"/>
    <s v="No"/>
    <n v="424.15"/>
    <s v="Normal"/>
  </r>
  <r>
    <x v="279"/>
    <x v="22"/>
    <s v="C173"/>
    <x v="3"/>
    <s v="P24"/>
    <n v="3"/>
    <m/>
    <x v="5"/>
    <x v="1"/>
    <s v="no"/>
    <x v="0"/>
    <s v="Yes"/>
    <s v="yes"/>
    <s v="No"/>
    <n v="9893"/>
    <s v="Normal"/>
  </r>
  <r>
    <x v="280"/>
    <x v="140"/>
    <s v="C173"/>
    <x v="3"/>
    <s v="P60"/>
    <n v="2"/>
    <n v="199"/>
    <x v="2"/>
    <x v="91"/>
    <s v="no"/>
    <x v="0"/>
    <s v="Yes"/>
    <s v="no"/>
    <s v="No"/>
    <n v="6224.5"/>
    <s v="Normal"/>
  </r>
  <r>
    <x v="281"/>
    <x v="184"/>
    <s v="C182"/>
    <x v="0"/>
    <s v="P3"/>
    <n v="3"/>
    <n v="1499"/>
    <x v="5"/>
    <x v="84"/>
    <s v="yes"/>
    <x v="0"/>
    <s v="No"/>
    <s v="yes"/>
    <s v="No"/>
    <n v="3597.6"/>
    <s v="Normal"/>
  </r>
  <r>
    <x v="282"/>
    <x v="150"/>
    <s v="C116"/>
    <x v="1"/>
    <s v="P20"/>
    <n v="1"/>
    <n v="1499"/>
    <x v="4"/>
    <x v="9"/>
    <s v="yes"/>
    <x v="1"/>
    <s v="Yes"/>
    <s v="no"/>
    <s v="Yes"/>
    <n v="8387"/>
    <s v="Normal"/>
  </r>
  <r>
    <x v="283"/>
    <x v="185"/>
    <s v="C184"/>
    <x v="1"/>
    <s v="P46"/>
    <n v="1"/>
    <n v="1499"/>
    <x v="0"/>
    <x v="10"/>
    <s v="no"/>
    <x v="0"/>
    <s v="Yes"/>
    <s v="no"/>
    <s v="No"/>
    <n v="1826.6999999999998"/>
    <s v="Normal"/>
  </r>
  <r>
    <x v="284"/>
    <x v="51"/>
    <s v="C177"/>
    <x v="4"/>
    <s v="P15"/>
    <n v="4"/>
    <n v="199"/>
    <x v="4"/>
    <x v="85"/>
    <s v="no"/>
    <x v="1"/>
    <s v="Yes"/>
    <s v="no"/>
    <s v="No"/>
    <n v="11363.95"/>
    <s v="Normal"/>
  </r>
  <r>
    <x v="285"/>
    <x v="180"/>
    <s v="C172"/>
    <x v="4"/>
    <s v="P25"/>
    <n v="2"/>
    <m/>
    <x v="2"/>
    <x v="1"/>
    <s v="no"/>
    <x v="0"/>
    <s v="Yes"/>
    <s v="no"/>
    <s v="No"/>
    <n v="2698.2"/>
    <s v="Normal"/>
  </r>
  <r>
    <x v="286"/>
    <x v="106"/>
    <s v="C100"/>
    <x v="2"/>
    <s v="P94"/>
    <n v="0"/>
    <n v="199"/>
    <x v="3"/>
    <x v="8"/>
    <s v="no"/>
    <x v="1"/>
    <s v="Yes"/>
    <s v="no"/>
    <s v="No"/>
    <n v="5096.5999999999995"/>
    <s v="Normal"/>
  </r>
  <r>
    <x v="287"/>
    <x v="178"/>
    <s v="C150"/>
    <x v="3"/>
    <s v="P78"/>
    <n v="1"/>
    <n v="999"/>
    <x v="3"/>
    <x v="27"/>
    <s v="no"/>
    <x v="1"/>
    <s v="Yes"/>
    <s v="no"/>
    <s v="No"/>
    <n v="4997"/>
    <s v="Normal"/>
  </r>
  <r>
    <x v="288"/>
    <x v="103"/>
    <s v="C144"/>
    <x v="4"/>
    <s v="P71"/>
    <n v="1"/>
    <n v="999"/>
    <x v="4"/>
    <x v="27"/>
    <s v="no"/>
    <x v="1"/>
    <s v="Yes"/>
    <s v="no"/>
    <s v="No"/>
    <n v="14336.099999999999"/>
    <s v="Normal"/>
  </r>
  <r>
    <x v="289"/>
    <x v="186"/>
    <s v="C176"/>
    <x v="1"/>
    <s v="P17"/>
    <m/>
    <n v="199"/>
    <x v="1"/>
    <x v="1"/>
    <s v="no"/>
    <x v="0"/>
    <s v="Yes"/>
    <s v="no"/>
    <s v="No"/>
    <n v="284.05"/>
    <s v="Normal"/>
  </r>
  <r>
    <x v="290"/>
    <x v="1"/>
    <s v="C103"/>
    <x v="0"/>
    <s v="P84"/>
    <n v="3"/>
    <n v="1499"/>
    <x v="0"/>
    <x v="28"/>
    <s v="yes"/>
    <x v="0"/>
    <s v="Yes"/>
    <s v="no"/>
    <s v="Yes"/>
    <n v="7282.8"/>
    <s v="Normal"/>
  </r>
  <r>
    <x v="291"/>
    <x v="76"/>
    <s v="C161"/>
    <x v="1"/>
    <s v="P9"/>
    <n v="5"/>
    <m/>
    <x v="0"/>
    <x v="1"/>
    <s v="no"/>
    <x v="0"/>
    <s v="Yes"/>
    <s v="no"/>
    <s v="No"/>
    <n v="3805.3"/>
    <s v="Normal"/>
  </r>
  <r>
    <x v="292"/>
    <x v="187"/>
    <s v="C164"/>
    <x v="3"/>
    <s v="P38"/>
    <n v="3"/>
    <n v="199"/>
    <x v="3"/>
    <x v="72"/>
    <s v="no"/>
    <x v="1"/>
    <s v="No"/>
    <s v="no"/>
    <s v="No"/>
    <n v="597"/>
    <s v="Normal"/>
  </r>
  <r>
    <x v="293"/>
    <x v="62"/>
    <s v="C131"/>
    <x v="1"/>
    <s v="P48"/>
    <n v="2"/>
    <n v="199"/>
    <x v="5"/>
    <x v="7"/>
    <s v="no"/>
    <x v="0"/>
    <s v="Yes"/>
    <s v="yes"/>
    <s v="No"/>
    <n v="1813.4"/>
    <s v="Normal"/>
  </r>
  <r>
    <x v="294"/>
    <x v="90"/>
    <s v="C133"/>
    <x v="2"/>
    <s v="P60"/>
    <n v="2"/>
    <n v="199"/>
    <x v="2"/>
    <x v="91"/>
    <s v="no"/>
    <x v="0"/>
    <s v="Yes"/>
    <s v="no"/>
    <s v="No"/>
    <n v="6075.25"/>
    <s v="Normal"/>
  </r>
  <r>
    <x v="295"/>
    <x v="74"/>
    <s v="C191"/>
    <x v="3"/>
    <s v="P63"/>
    <n v="3"/>
    <n v="299"/>
    <x v="5"/>
    <x v="100"/>
    <s v="no"/>
    <x v="0"/>
    <s v="Yes"/>
    <s v="yes"/>
    <s v="No"/>
    <n v="1225.9000000000001"/>
    <s v="Normal"/>
  </r>
  <r>
    <x v="296"/>
    <x v="188"/>
    <s v="C194"/>
    <x v="0"/>
    <s v="P86"/>
    <n v="1"/>
    <n v="999"/>
    <x v="5"/>
    <x v="63"/>
    <s v="no"/>
    <x v="0"/>
    <s v="No"/>
    <s v="yes"/>
    <s v="No"/>
    <n v="799.2"/>
    <s v="Normal"/>
  </r>
  <r>
    <x v="297"/>
    <x v="22"/>
    <s v="C171"/>
    <x v="2"/>
    <s v="P2"/>
    <n v="4"/>
    <n v="1999"/>
    <x v="4"/>
    <x v="33"/>
    <s v="yes"/>
    <x v="1"/>
    <s v="Yes"/>
    <s v="no"/>
    <s v="Yes"/>
    <n v="9893"/>
    <s v="Outlier"/>
  </r>
  <r>
    <x v="298"/>
    <x v="189"/>
    <s v="C138"/>
    <x v="3"/>
    <s v="P88"/>
    <n v="4"/>
    <n v="1499"/>
    <x v="3"/>
    <x v="69"/>
    <s v="yes"/>
    <x v="1"/>
    <s v="No"/>
    <s v="no"/>
    <s v="No"/>
    <n v="5996"/>
    <s v="Outlier"/>
  </r>
  <r>
    <x v="299"/>
    <x v="91"/>
    <s v="C125"/>
    <x v="0"/>
    <s v="P72"/>
    <n v="2"/>
    <n v="499"/>
    <x v="3"/>
    <x v="21"/>
    <s v="no"/>
    <x v="1"/>
    <s v="Yes"/>
    <s v="no"/>
    <s v="No"/>
    <n v="2878.8500000000004"/>
    <s v="Normal"/>
  </r>
  <r>
    <x v="300"/>
    <x v="21"/>
    <s v="C133"/>
    <x v="2"/>
    <s v="P11"/>
    <m/>
    <n v="1999"/>
    <x v="3"/>
    <x v="1"/>
    <s v="no"/>
    <x v="1"/>
    <s v="Yes"/>
    <s v="no"/>
    <s v="No"/>
    <n v="3598.2"/>
    <s v="Normal"/>
  </r>
  <r>
    <x v="301"/>
    <x v="70"/>
    <s v="C153"/>
    <x v="2"/>
    <s v="P64"/>
    <n v="4"/>
    <n v="1499"/>
    <x v="4"/>
    <x v="69"/>
    <s v="yes"/>
    <x v="1"/>
    <s v="Yes"/>
    <s v="no"/>
    <s v="Yes"/>
    <n v="14386.9"/>
    <s v="Outlier"/>
  </r>
  <r>
    <x v="302"/>
    <x v="40"/>
    <s v="C102"/>
    <x v="3"/>
    <s v="P77"/>
    <n v="3"/>
    <n v="499"/>
    <x v="1"/>
    <x v="88"/>
    <s v="no"/>
    <x v="0"/>
    <s v="Yes"/>
    <s v="no"/>
    <s v="No"/>
    <n v="10466.950000000001"/>
    <s v="Normal"/>
  </r>
  <r>
    <x v="303"/>
    <x v="190"/>
    <s v="C149"/>
    <x v="4"/>
    <s v="P81"/>
    <n v="1"/>
    <n v="299"/>
    <x v="5"/>
    <x v="89"/>
    <s v="no"/>
    <x v="0"/>
    <s v="No"/>
    <s v="yes"/>
    <s v="No"/>
    <n v="239.2"/>
    <s v="Normal"/>
  </r>
  <r>
    <x v="304"/>
    <x v="136"/>
    <s v="C111"/>
    <x v="2"/>
    <s v="P72"/>
    <n v="2"/>
    <n v="199"/>
    <x v="4"/>
    <x v="40"/>
    <s v="no"/>
    <x v="1"/>
    <s v="Yes"/>
    <s v="no"/>
    <s v="No"/>
    <n v="1897"/>
    <s v="Normal"/>
  </r>
  <r>
    <x v="305"/>
    <x v="98"/>
    <s v="C164"/>
    <x v="2"/>
    <s v="P21"/>
    <n v="2"/>
    <n v="299"/>
    <x v="0"/>
    <x v="101"/>
    <s v="no"/>
    <x v="0"/>
    <s v="Yes"/>
    <s v="no"/>
    <s v="No"/>
    <n v="2936.6000000000004"/>
    <s v="Normal"/>
  </r>
  <r>
    <x v="306"/>
    <x v="191"/>
    <s v="C153"/>
    <x v="0"/>
    <s v="P18"/>
    <n v="1"/>
    <n v="299"/>
    <x v="2"/>
    <x v="102"/>
    <s v="no"/>
    <x v="0"/>
    <s v="Yes"/>
    <s v="no"/>
    <s v="No"/>
    <n v="1633.1499999999999"/>
    <s v="Normal"/>
  </r>
  <r>
    <x v="307"/>
    <x v="24"/>
    <s v="C104"/>
    <x v="1"/>
    <s v="P94"/>
    <n v="1"/>
    <n v="1999"/>
    <x v="1"/>
    <x v="34"/>
    <s v="yes"/>
    <x v="0"/>
    <s v="Yes"/>
    <s v="no"/>
    <s v="Yes"/>
    <n v="1699.15"/>
    <s v="Normal"/>
  </r>
  <r>
    <x v="308"/>
    <x v="192"/>
    <s v="C193"/>
    <x v="3"/>
    <s v="P64"/>
    <n v="4"/>
    <m/>
    <x v="0"/>
    <x v="1"/>
    <s v="no"/>
    <x v="0"/>
    <s v="Yes"/>
    <s v="no"/>
    <s v="No"/>
    <n v="0"/>
    <s v="Normal"/>
  </r>
  <r>
    <x v="309"/>
    <x v="193"/>
    <s v="C193"/>
    <x v="3"/>
    <s v="P82"/>
    <n v="1"/>
    <n v="1999"/>
    <x v="5"/>
    <x v="90"/>
    <s v="yes"/>
    <x v="0"/>
    <s v="Yes"/>
    <s v="yes"/>
    <s v="Yes"/>
    <n v="3298.3500000000004"/>
    <s v="Normal"/>
  </r>
  <r>
    <x v="310"/>
    <x v="194"/>
    <s v="C156"/>
    <x v="4"/>
    <s v="P95"/>
    <n v="3"/>
    <n v="999"/>
    <x v="3"/>
    <x v="26"/>
    <s v="yes"/>
    <x v="1"/>
    <s v="No"/>
    <s v="no"/>
    <s v="No"/>
    <n v="2997"/>
    <s v="Normal"/>
  </r>
  <r>
    <x v="311"/>
    <x v="195"/>
    <s v="C116"/>
    <x v="4"/>
    <s v="P38"/>
    <n v="5"/>
    <n v="499"/>
    <x v="5"/>
    <x v="95"/>
    <s v="yes"/>
    <x v="0"/>
    <s v="No"/>
    <s v="yes"/>
    <s v="No"/>
    <n v="1996"/>
    <s v="Normal"/>
  </r>
  <r>
    <x v="312"/>
    <x v="196"/>
    <s v="C146"/>
    <x v="3"/>
    <s v="P32"/>
    <n v="4"/>
    <n v="199"/>
    <x v="4"/>
    <x v="85"/>
    <s v="no"/>
    <x v="1"/>
    <s v="Yes"/>
    <s v="no"/>
    <s v="No"/>
    <n v="796"/>
    <s v="Normal"/>
  </r>
  <r>
    <x v="313"/>
    <x v="34"/>
    <s v="C122"/>
    <x v="4"/>
    <s v="P11"/>
    <n v="1"/>
    <n v="1999"/>
    <x v="2"/>
    <x v="103"/>
    <s v="yes"/>
    <x v="0"/>
    <s v="Yes"/>
    <s v="no"/>
    <s v="Yes"/>
    <n v="6245.55"/>
    <s v="Normal"/>
  </r>
  <r>
    <x v="314"/>
    <x v="53"/>
    <s v="C178"/>
    <x v="0"/>
    <s v="P45"/>
    <n v="4"/>
    <n v="499"/>
    <x v="4"/>
    <x v="95"/>
    <s v="yes"/>
    <x v="1"/>
    <s v="Yes"/>
    <s v="no"/>
    <s v="Yes"/>
    <n v="10189.200000000001"/>
    <s v="Normal"/>
  </r>
  <r>
    <x v="315"/>
    <x v="112"/>
    <s v="C184"/>
    <x v="3"/>
    <s v="P89"/>
    <n v="0"/>
    <n v="1499"/>
    <x v="1"/>
    <x v="8"/>
    <s v="no"/>
    <x v="0"/>
    <s v="Yes"/>
    <s v="no"/>
    <s v="No"/>
    <n v="799.2"/>
    <s v="Normal"/>
  </r>
  <r>
    <x v="316"/>
    <x v="197"/>
    <s v="C113"/>
    <x v="4"/>
    <s v="P33"/>
    <n v="0"/>
    <n v="499"/>
    <x v="1"/>
    <x v="8"/>
    <s v="no"/>
    <x v="0"/>
    <s v="No"/>
    <s v="no"/>
    <s v="No"/>
    <n v="0"/>
    <s v="Normal"/>
  </r>
  <r>
    <x v="317"/>
    <x v="198"/>
    <s v="C165"/>
    <x v="3"/>
    <s v="P41"/>
    <n v="3"/>
    <n v="1499"/>
    <x v="2"/>
    <x v="104"/>
    <s v="yes"/>
    <x v="0"/>
    <s v="No"/>
    <s v="no"/>
    <s v="No"/>
    <n v="4272.1499999999996"/>
    <s v="Normal"/>
  </r>
  <r>
    <x v="318"/>
    <x v="21"/>
    <s v="C174"/>
    <x v="1"/>
    <s v="P8"/>
    <n v="2"/>
    <n v="1999"/>
    <x v="0"/>
    <x v="105"/>
    <s v="yes"/>
    <x v="0"/>
    <s v="Yes"/>
    <s v="no"/>
    <s v="Yes"/>
    <n v="3598.2"/>
    <s v="Normal"/>
  </r>
  <r>
    <x v="319"/>
    <x v="135"/>
    <s v="C150"/>
    <x v="2"/>
    <s v="P11"/>
    <n v="2"/>
    <n v="999"/>
    <x v="0"/>
    <x v="18"/>
    <s v="yes"/>
    <x v="0"/>
    <s v="Yes"/>
    <s v="no"/>
    <s v="Yes"/>
    <n v="2474.8000000000002"/>
    <s v="Normal"/>
  </r>
  <r>
    <x v="320"/>
    <x v="166"/>
    <s v="C137"/>
    <x v="3"/>
    <s v="P86"/>
    <n v="3"/>
    <n v="1999"/>
    <x v="1"/>
    <x v="39"/>
    <s v="yes"/>
    <x v="0"/>
    <s v="Yes"/>
    <s v="no"/>
    <s v="Yes"/>
    <n v="7495.0499999999993"/>
    <s v="Normal"/>
  </r>
  <r>
    <x v="321"/>
    <x v="130"/>
    <s v="C163"/>
    <x v="2"/>
    <s v="P51"/>
    <n v="1"/>
    <n v="1499"/>
    <x v="1"/>
    <x v="106"/>
    <s v="no"/>
    <x v="0"/>
    <s v="Yes"/>
    <s v="no"/>
    <s v="No"/>
    <n v="5268.75"/>
    <s v="Normal"/>
  </r>
  <r>
    <x v="322"/>
    <x v="199"/>
    <s v="C197"/>
    <x v="4"/>
    <s v="P88"/>
    <n v="1"/>
    <n v="499"/>
    <x v="3"/>
    <x v="13"/>
    <s v="no"/>
    <x v="1"/>
    <s v="No"/>
    <s v="no"/>
    <s v="No"/>
    <n v="499"/>
    <s v="Normal"/>
  </r>
  <r>
    <x v="323"/>
    <x v="70"/>
    <s v="C137"/>
    <x v="2"/>
    <s v="P41"/>
    <n v="2"/>
    <n v="499"/>
    <x v="0"/>
    <x v="73"/>
    <s v="no"/>
    <x v="0"/>
    <s v="Yes"/>
    <s v="no"/>
    <s v="No"/>
    <n v="14386.9"/>
    <s v="Normal"/>
  </r>
  <r>
    <x v="324"/>
    <x v="170"/>
    <s v="C149"/>
    <x v="3"/>
    <s v="P17"/>
    <n v="4"/>
    <n v="1499"/>
    <x v="2"/>
    <x v="107"/>
    <s v="yes"/>
    <x v="0"/>
    <s v="Yes"/>
    <s v="no"/>
    <s v="Yes"/>
    <n v="12043.649999999998"/>
    <s v="Outlier"/>
  </r>
  <r>
    <x v="325"/>
    <x v="200"/>
    <s v="C197"/>
    <x v="1"/>
    <s v="P76"/>
    <n v="3"/>
    <n v="299"/>
    <x v="0"/>
    <x v="66"/>
    <s v="no"/>
    <x v="0"/>
    <s v="Yes"/>
    <s v="no"/>
    <s v="No"/>
    <n v="807.30000000000007"/>
    <s v="Normal"/>
  </r>
  <r>
    <x v="326"/>
    <x v="54"/>
    <s v="C181"/>
    <x v="4"/>
    <s v="P46"/>
    <n v="1"/>
    <n v="999"/>
    <x v="3"/>
    <x v="27"/>
    <s v="no"/>
    <x v="1"/>
    <s v="Yes"/>
    <s v="no"/>
    <s v="No"/>
    <n v="4197.3999999999996"/>
    <s v="Normal"/>
  </r>
  <r>
    <x v="327"/>
    <x v="20"/>
    <s v="C129"/>
    <x v="3"/>
    <s v="P32"/>
    <n v="2"/>
    <m/>
    <x v="4"/>
    <x v="1"/>
    <s v="no"/>
    <x v="1"/>
    <s v="Yes"/>
    <s v="no"/>
    <s v="No"/>
    <n v="0"/>
    <s v="Normal"/>
  </r>
  <r>
    <x v="328"/>
    <x v="28"/>
    <s v="C178"/>
    <x v="4"/>
    <s v="P79"/>
    <n v="1"/>
    <n v="199"/>
    <x v="1"/>
    <x v="62"/>
    <s v="no"/>
    <x v="0"/>
    <s v="Yes"/>
    <s v="no"/>
    <s v="No"/>
    <n v="668.15"/>
    <s v="Normal"/>
  </r>
  <r>
    <x v="329"/>
    <x v="201"/>
    <s v="C190"/>
    <x v="0"/>
    <s v="P80"/>
    <n v="1"/>
    <n v="499"/>
    <x v="1"/>
    <x v="80"/>
    <s v="no"/>
    <x v="0"/>
    <s v="No"/>
    <s v="no"/>
    <s v="No"/>
    <n v="424.15"/>
    <s v="Normal"/>
  </r>
  <r>
    <x v="330"/>
    <x v="104"/>
    <s v="C150"/>
    <x v="2"/>
    <s v="P54"/>
    <n v="4"/>
    <n v="199"/>
    <x v="3"/>
    <x v="85"/>
    <s v="no"/>
    <x v="1"/>
    <s v="Yes"/>
    <s v="no"/>
    <s v="No"/>
    <n v="2452.1999999999998"/>
    <s v="Normal"/>
  </r>
  <r>
    <x v="331"/>
    <x v="153"/>
    <s v="C162"/>
    <x v="0"/>
    <s v="P86"/>
    <n v="1"/>
    <m/>
    <x v="2"/>
    <x v="1"/>
    <s v="no"/>
    <x v="0"/>
    <s v="Yes"/>
    <s v="no"/>
    <s v="No"/>
    <n v="10044.299999999999"/>
    <s v="Normal"/>
  </r>
  <r>
    <x v="332"/>
    <x v="193"/>
    <s v="C197"/>
    <x v="3"/>
    <s v="P92"/>
    <n v="1"/>
    <n v="1999"/>
    <x v="1"/>
    <x v="34"/>
    <s v="yes"/>
    <x v="0"/>
    <s v="Yes"/>
    <s v="no"/>
    <s v="Yes"/>
    <n v="3298.3500000000004"/>
    <s v="Normal"/>
  </r>
  <r>
    <x v="333"/>
    <x v="202"/>
    <s v="C151"/>
    <x v="1"/>
    <s v="P20"/>
    <n v="3"/>
    <n v="199"/>
    <x v="5"/>
    <x v="38"/>
    <s v="no"/>
    <x v="0"/>
    <s v="No"/>
    <s v="yes"/>
    <s v="No"/>
    <n v="477.6"/>
    <s v="Normal"/>
  </r>
  <r>
    <x v="334"/>
    <x v="203"/>
    <s v="C137"/>
    <x v="4"/>
    <s v="P33"/>
    <n v="3"/>
    <m/>
    <x v="1"/>
    <x v="1"/>
    <s v="no"/>
    <x v="0"/>
    <s v="No"/>
    <s v="no"/>
    <s v="No"/>
    <n v="0"/>
    <s v="Normal"/>
  </r>
  <r>
    <x v="335"/>
    <x v="103"/>
    <s v="C196"/>
    <x v="2"/>
    <s v="P74"/>
    <n v="3"/>
    <n v="1499"/>
    <x v="5"/>
    <x v="84"/>
    <s v="yes"/>
    <x v="0"/>
    <s v="Yes"/>
    <s v="yes"/>
    <s v="Yes"/>
    <n v="14336.099999999999"/>
    <s v="Normal"/>
  </r>
  <r>
    <x v="336"/>
    <x v="141"/>
    <s v="C187"/>
    <x v="4"/>
    <s v="P40"/>
    <n v="1"/>
    <n v="299"/>
    <x v="3"/>
    <x v="24"/>
    <s v="no"/>
    <x v="1"/>
    <s v="Yes"/>
    <s v="no"/>
    <s v="No"/>
    <n v="3755.7"/>
    <s v="Normal"/>
  </r>
  <r>
    <x v="337"/>
    <x v="182"/>
    <s v="C178"/>
    <x v="3"/>
    <s v="P32"/>
    <n v="1"/>
    <n v="499"/>
    <x v="3"/>
    <x v="13"/>
    <s v="no"/>
    <x v="1"/>
    <s v="Yes"/>
    <s v="no"/>
    <s v="No"/>
    <n v="499"/>
    <s v="Normal"/>
  </r>
  <r>
    <x v="338"/>
    <x v="77"/>
    <s v="C129"/>
    <x v="4"/>
    <s v="P97"/>
    <n v="1"/>
    <m/>
    <x v="1"/>
    <x v="1"/>
    <s v="no"/>
    <x v="0"/>
    <s v="Yes"/>
    <s v="no"/>
    <s v="No"/>
    <n v="8893.6999999999989"/>
    <s v="Normal"/>
  </r>
  <r>
    <x v="339"/>
    <x v="1"/>
    <s v="C150"/>
    <x v="2"/>
    <s v="P2"/>
    <n v="1"/>
    <n v="199"/>
    <x v="0"/>
    <x v="11"/>
    <s v="no"/>
    <x v="0"/>
    <s v="Yes"/>
    <s v="no"/>
    <s v="No"/>
    <n v="7282.8"/>
    <s v="Normal"/>
  </r>
  <r>
    <x v="340"/>
    <x v="204"/>
    <s v="C180"/>
    <x v="3"/>
    <s v="P97"/>
    <n v="3"/>
    <n v="499"/>
    <x v="5"/>
    <x v="108"/>
    <s v="no"/>
    <x v="0"/>
    <s v="No"/>
    <s v="yes"/>
    <s v="No"/>
    <n v="1197.5999999999999"/>
    <s v="Normal"/>
  </r>
  <r>
    <x v="341"/>
    <x v="205"/>
    <s v="C104"/>
    <x v="4"/>
    <s v="P33"/>
    <n v="4"/>
    <n v="299"/>
    <x v="2"/>
    <x v="109"/>
    <s v="no"/>
    <x v="0"/>
    <s v="No"/>
    <s v="no"/>
    <s v="No"/>
    <n v="1136.2"/>
    <s v="Normal"/>
  </r>
  <r>
    <x v="342"/>
    <x v="206"/>
    <s v="C128"/>
    <x v="1"/>
    <s v="P77"/>
    <n v="3"/>
    <n v="1499"/>
    <x v="1"/>
    <x v="30"/>
    <s v="yes"/>
    <x v="0"/>
    <s v="No"/>
    <s v="no"/>
    <s v="No"/>
    <n v="3822.45"/>
    <s v="Normal"/>
  </r>
  <r>
    <x v="343"/>
    <x v="103"/>
    <s v="C103"/>
    <x v="3"/>
    <s v="P30"/>
    <n v="4"/>
    <n v="1999"/>
    <x v="2"/>
    <x v="110"/>
    <s v="yes"/>
    <x v="0"/>
    <s v="Yes"/>
    <s v="no"/>
    <s v="Yes"/>
    <n v="14336.099999999999"/>
    <s v="Outlier"/>
  </r>
  <r>
    <x v="344"/>
    <x v="31"/>
    <s v="C109"/>
    <x v="3"/>
    <s v="P33"/>
    <n v="2"/>
    <n v="499"/>
    <x v="1"/>
    <x v="111"/>
    <s v="no"/>
    <x v="0"/>
    <s v="Yes"/>
    <s v="no"/>
    <s v="No"/>
    <n v="6794.9000000000005"/>
    <s v="Normal"/>
  </r>
  <r>
    <x v="345"/>
    <x v="140"/>
    <s v="C155"/>
    <x v="1"/>
    <s v="P77"/>
    <n v="3"/>
    <n v="1999"/>
    <x v="0"/>
    <x v="112"/>
    <s v="yes"/>
    <x v="0"/>
    <s v="Yes"/>
    <s v="no"/>
    <s v="Yes"/>
    <n v="6224.5"/>
    <s v="Outlier"/>
  </r>
  <r>
    <x v="346"/>
    <x v="63"/>
    <s v="C116"/>
    <x v="0"/>
    <s v="P26"/>
    <n v="2"/>
    <m/>
    <x v="0"/>
    <x v="1"/>
    <s v="no"/>
    <x v="0"/>
    <s v="Yes"/>
    <s v="no"/>
    <s v="No"/>
    <n v="3196.8"/>
    <s v="Normal"/>
  </r>
  <r>
    <x v="347"/>
    <x v="25"/>
    <s v="C173"/>
    <x v="2"/>
    <s v="P22"/>
    <n v="2"/>
    <n v="299"/>
    <x v="0"/>
    <x v="101"/>
    <s v="no"/>
    <x v="0"/>
    <s v="Yes"/>
    <s v="no"/>
    <s v="No"/>
    <n v="717.30000000000007"/>
    <s v="Normal"/>
  </r>
  <r>
    <x v="348"/>
    <x v="22"/>
    <s v="C116"/>
    <x v="0"/>
    <s v="P66"/>
    <n v="2"/>
    <n v="199"/>
    <x v="4"/>
    <x v="40"/>
    <s v="no"/>
    <x v="1"/>
    <s v="Yes"/>
    <s v="no"/>
    <s v="No"/>
    <n v="9893"/>
    <s v="Normal"/>
  </r>
  <r>
    <x v="349"/>
    <x v="207"/>
    <s v="C183"/>
    <x v="4"/>
    <s v="P38"/>
    <n v="1"/>
    <n v="299"/>
    <x v="0"/>
    <x v="67"/>
    <s v="no"/>
    <x v="0"/>
    <s v="No"/>
    <s v="no"/>
    <s v="No"/>
    <n v="269.10000000000002"/>
    <s v="Normal"/>
  </r>
  <r>
    <x v="350"/>
    <x v="208"/>
    <s v="C187"/>
    <x v="1"/>
    <s v="P90"/>
    <n v="2"/>
    <n v="299"/>
    <x v="3"/>
    <x v="61"/>
    <s v="no"/>
    <x v="1"/>
    <s v="Yes"/>
    <s v="no"/>
    <s v="No"/>
    <n v="2095"/>
    <s v="Normal"/>
  </r>
  <r>
    <x v="351"/>
    <x v="136"/>
    <s v="C168"/>
    <x v="0"/>
    <s v="P46"/>
    <m/>
    <n v="999"/>
    <x v="3"/>
    <x v="1"/>
    <s v="no"/>
    <x v="1"/>
    <s v="Yes"/>
    <s v="no"/>
    <s v="No"/>
    <n v="1897"/>
    <s v="Normal"/>
  </r>
  <r>
    <x v="352"/>
    <x v="209"/>
    <s v="C133"/>
    <x v="3"/>
    <s v="P15"/>
    <n v="1"/>
    <n v="299"/>
    <x v="4"/>
    <x v="24"/>
    <s v="no"/>
    <x v="1"/>
    <s v="No"/>
    <s v="no"/>
    <s v="No"/>
    <n v="299"/>
    <s v="Normal"/>
  </r>
  <r>
    <x v="353"/>
    <x v="210"/>
    <s v="C105"/>
    <x v="4"/>
    <s v="P98"/>
    <n v="1"/>
    <n v="299"/>
    <x v="5"/>
    <x v="89"/>
    <s v="no"/>
    <x v="0"/>
    <s v="No"/>
    <s v="yes"/>
    <s v="No"/>
    <n v="239.2"/>
    <s v="Normal"/>
  </r>
  <r>
    <x v="354"/>
    <x v="211"/>
    <s v="C152"/>
    <x v="4"/>
    <s v="P44"/>
    <n v="2"/>
    <n v="499"/>
    <x v="2"/>
    <x v="113"/>
    <s v="no"/>
    <x v="0"/>
    <s v="Yes"/>
    <s v="no"/>
    <s v="No"/>
    <n v="6045.5499999999993"/>
    <s v="Normal"/>
  </r>
  <r>
    <x v="355"/>
    <x v="59"/>
    <s v="C165"/>
    <x v="0"/>
    <s v="P49"/>
    <n v="4"/>
    <n v="199"/>
    <x v="1"/>
    <x v="75"/>
    <s v="no"/>
    <x v="0"/>
    <s v="Yes"/>
    <s v="no"/>
    <s v="No"/>
    <n v="6687.6"/>
    <s v="Normal"/>
  </r>
  <r>
    <x v="356"/>
    <x v="212"/>
    <s v="C176"/>
    <x v="0"/>
    <s v="P75"/>
    <n v="3"/>
    <n v="499"/>
    <x v="1"/>
    <x v="88"/>
    <s v="no"/>
    <x v="0"/>
    <s v="Yes"/>
    <s v="no"/>
    <s v="No"/>
    <n v="3869.8500000000004"/>
    <s v="Normal"/>
  </r>
  <r>
    <x v="357"/>
    <x v="208"/>
    <s v="C142"/>
    <x v="1"/>
    <s v="P61"/>
    <n v="3"/>
    <n v="499"/>
    <x v="4"/>
    <x v="3"/>
    <s v="yes"/>
    <x v="1"/>
    <s v="Yes"/>
    <s v="no"/>
    <s v="Yes"/>
    <n v="2095"/>
    <s v="Normal"/>
  </r>
  <r>
    <x v="358"/>
    <x v="12"/>
    <s v="C174"/>
    <x v="2"/>
    <s v="P67"/>
    <n v="1"/>
    <m/>
    <x v="3"/>
    <x v="1"/>
    <s v="no"/>
    <x v="1"/>
    <s v="Yes"/>
    <s v="no"/>
    <s v="No"/>
    <n v="11794.1"/>
    <s v="Normal"/>
  </r>
  <r>
    <x v="359"/>
    <x v="213"/>
    <s v="C122"/>
    <x v="0"/>
    <s v="P6"/>
    <n v="3"/>
    <n v="499"/>
    <x v="1"/>
    <x v="88"/>
    <s v="no"/>
    <x v="0"/>
    <s v="No"/>
    <s v="no"/>
    <s v="No"/>
    <n v="1272.45"/>
    <s v="Normal"/>
  </r>
  <r>
    <x v="360"/>
    <x v="77"/>
    <s v="C154"/>
    <x v="0"/>
    <s v="P9"/>
    <n v="2"/>
    <n v="999"/>
    <x v="3"/>
    <x v="114"/>
    <s v="yes"/>
    <x v="1"/>
    <s v="Yes"/>
    <s v="no"/>
    <s v="Yes"/>
    <n v="8893.6999999999989"/>
    <s v="Normal"/>
  </r>
  <r>
    <x v="361"/>
    <x v="214"/>
    <s v="C179"/>
    <x v="3"/>
    <s v="P6"/>
    <n v="4"/>
    <n v="999"/>
    <x v="5"/>
    <x v="37"/>
    <s v="yes"/>
    <x v="0"/>
    <s v="No"/>
    <s v="yes"/>
    <s v="No"/>
    <n v="3196.8"/>
    <s v="Normal"/>
  </r>
  <r>
    <x v="362"/>
    <x v="215"/>
    <s v="C194"/>
    <x v="4"/>
    <s v="P73"/>
    <n v="3"/>
    <n v="1999"/>
    <x v="2"/>
    <x v="51"/>
    <s v="yes"/>
    <x v="0"/>
    <s v="Yes"/>
    <s v="no"/>
    <s v="Yes"/>
    <n v="10493.95"/>
    <s v="Outlier"/>
  </r>
  <r>
    <x v="363"/>
    <x v="216"/>
    <s v="C174"/>
    <x v="2"/>
    <s v="P95"/>
    <n v="1"/>
    <m/>
    <x v="5"/>
    <x v="1"/>
    <s v="no"/>
    <x v="0"/>
    <s v="Yes"/>
    <s v="yes"/>
    <s v="No"/>
    <n v="2998"/>
    <s v="Normal"/>
  </r>
  <r>
    <x v="364"/>
    <x v="175"/>
    <s v="C115"/>
    <x v="3"/>
    <s v="P32"/>
    <n v="1"/>
    <n v="1999"/>
    <x v="4"/>
    <x v="60"/>
    <s v="yes"/>
    <x v="1"/>
    <s v="Yes"/>
    <s v="no"/>
    <s v="Yes"/>
    <n v="1999"/>
    <s v="Normal"/>
  </r>
  <r>
    <x v="365"/>
    <x v="217"/>
    <s v="C107"/>
    <x v="1"/>
    <s v="P41"/>
    <n v="0"/>
    <n v="1999"/>
    <x v="0"/>
    <x v="8"/>
    <s v="no"/>
    <x v="0"/>
    <s v="Yes"/>
    <s v="no"/>
    <s v="No"/>
    <n v="0"/>
    <s v="Normal"/>
  </r>
  <r>
    <x v="366"/>
    <x v="218"/>
    <s v="C103"/>
    <x v="1"/>
    <s v="P76"/>
    <n v="2"/>
    <n v="1499"/>
    <x v="0"/>
    <x v="96"/>
    <s v="yes"/>
    <x v="0"/>
    <s v="No"/>
    <s v="no"/>
    <s v="No"/>
    <n v="2698.2"/>
    <s v="Normal"/>
  </r>
  <r>
    <x v="367"/>
    <x v="219"/>
    <s v="C103"/>
    <x v="0"/>
    <s v="P8"/>
    <n v="1"/>
    <n v="199"/>
    <x v="0"/>
    <x v="11"/>
    <s v="no"/>
    <x v="0"/>
    <s v="No"/>
    <s v="no"/>
    <s v="No"/>
    <n v="179.1"/>
    <s v="Normal"/>
  </r>
  <r>
    <x v="368"/>
    <x v="185"/>
    <s v="C155"/>
    <x v="0"/>
    <s v="P72"/>
    <n v="3"/>
    <n v="199"/>
    <x v="5"/>
    <x v="38"/>
    <s v="no"/>
    <x v="0"/>
    <s v="Yes"/>
    <s v="yes"/>
    <s v="No"/>
    <n v="1826.6999999999998"/>
    <s v="Normal"/>
  </r>
  <r>
    <x v="369"/>
    <x v="220"/>
    <s v="C124"/>
    <x v="1"/>
    <s v="P50"/>
    <n v="2"/>
    <n v="499"/>
    <x v="1"/>
    <x v="111"/>
    <s v="no"/>
    <x v="0"/>
    <s v="No"/>
    <s v="no"/>
    <s v="No"/>
    <n v="848.3"/>
    <s v="Normal"/>
  </r>
  <r>
    <x v="370"/>
    <x v="221"/>
    <s v="C166"/>
    <x v="0"/>
    <s v="P92"/>
    <n v="1"/>
    <n v="499"/>
    <x v="2"/>
    <x v="82"/>
    <s v="no"/>
    <x v="0"/>
    <s v="Yes"/>
    <s v="no"/>
    <s v="No"/>
    <n v="3021.5"/>
    <s v="Normal"/>
  </r>
  <r>
    <x v="371"/>
    <x v="191"/>
    <s v="C195"/>
    <x v="2"/>
    <s v="P62"/>
    <n v="1"/>
    <n v="1499"/>
    <x v="0"/>
    <x v="10"/>
    <s v="no"/>
    <x v="0"/>
    <s v="Yes"/>
    <s v="no"/>
    <s v="No"/>
    <n v="1633.1499999999999"/>
    <s v="Normal"/>
  </r>
  <r>
    <x v="372"/>
    <x v="173"/>
    <s v="C166"/>
    <x v="0"/>
    <s v="P84"/>
    <n v="1"/>
    <n v="499"/>
    <x v="4"/>
    <x v="13"/>
    <s v="no"/>
    <x v="1"/>
    <s v="Yes"/>
    <s v="no"/>
    <s v="No"/>
    <n v="1737.2"/>
    <s v="Normal"/>
  </r>
  <r>
    <x v="373"/>
    <x v="30"/>
    <s v="C126"/>
    <x v="4"/>
    <s v="P62"/>
    <n v="4"/>
    <n v="199"/>
    <x v="4"/>
    <x v="85"/>
    <s v="no"/>
    <x v="1"/>
    <s v="Yes"/>
    <s v="no"/>
    <s v="No"/>
    <n v="5689"/>
    <s v="Normal"/>
  </r>
  <r>
    <x v="374"/>
    <x v="157"/>
    <s v="C192"/>
    <x v="0"/>
    <s v="P7"/>
    <n v="1"/>
    <n v="1999"/>
    <x v="0"/>
    <x v="19"/>
    <s v="yes"/>
    <x v="0"/>
    <s v="Yes"/>
    <s v="no"/>
    <s v="Yes"/>
    <n v="3071.55"/>
    <s v="Normal"/>
  </r>
  <r>
    <x v="375"/>
    <x v="222"/>
    <s v="C131"/>
    <x v="3"/>
    <s v="P75"/>
    <n v="3"/>
    <n v="299"/>
    <x v="0"/>
    <x v="66"/>
    <s v="no"/>
    <x v="0"/>
    <s v="No"/>
    <s v="no"/>
    <s v="No"/>
    <n v="807.30000000000007"/>
    <s v="Normal"/>
  </r>
  <r>
    <x v="376"/>
    <x v="223"/>
    <s v="C149"/>
    <x v="2"/>
    <s v="P84"/>
    <n v="4"/>
    <n v="999"/>
    <x v="2"/>
    <x v="98"/>
    <s v="yes"/>
    <x v="0"/>
    <s v="Yes"/>
    <s v="no"/>
    <s v="Yes"/>
    <n v="4195.3999999999996"/>
    <s v="Normal"/>
  </r>
  <r>
    <x v="377"/>
    <x v="224"/>
    <s v="C160"/>
    <x v="3"/>
    <s v="P80"/>
    <n v="3"/>
    <n v="299"/>
    <x v="0"/>
    <x v="66"/>
    <s v="no"/>
    <x v="0"/>
    <s v="No"/>
    <s v="no"/>
    <s v="No"/>
    <n v="807.30000000000007"/>
    <s v="Normal"/>
  </r>
  <r>
    <x v="378"/>
    <x v="125"/>
    <s v="C150"/>
    <x v="3"/>
    <s v="P4"/>
    <n v="4"/>
    <n v="299"/>
    <x v="2"/>
    <x v="109"/>
    <s v="no"/>
    <x v="0"/>
    <s v="Yes"/>
    <s v="no"/>
    <s v="No"/>
    <n v="2085.25"/>
    <s v="Normal"/>
  </r>
  <r>
    <x v="379"/>
    <x v="45"/>
    <s v="C118"/>
    <x v="4"/>
    <s v="P6"/>
    <n v="2"/>
    <n v="199"/>
    <x v="4"/>
    <x v="40"/>
    <s v="no"/>
    <x v="1"/>
    <s v="Yes"/>
    <s v="no"/>
    <s v="No"/>
    <n v="1397"/>
    <s v="Normal"/>
  </r>
  <r>
    <x v="380"/>
    <x v="225"/>
    <s v="C120"/>
    <x v="2"/>
    <s v="P58"/>
    <m/>
    <n v="299"/>
    <x v="0"/>
    <x v="1"/>
    <s v="no"/>
    <x v="0"/>
    <s v="No"/>
    <s v="no"/>
    <s v="No"/>
    <n v="0"/>
    <s v="Normal"/>
  </r>
  <r>
    <x v="381"/>
    <x v="124"/>
    <s v="C104"/>
    <x v="2"/>
    <s v="P22"/>
    <n v="1"/>
    <n v="1499"/>
    <x v="5"/>
    <x v="115"/>
    <s v="no"/>
    <x v="0"/>
    <s v="Yes"/>
    <s v="yes"/>
    <s v="No"/>
    <n v="2215.8000000000002"/>
    <s v="Normal"/>
  </r>
  <r>
    <x v="382"/>
    <x v="226"/>
    <s v="C181"/>
    <x v="2"/>
    <s v="P26"/>
    <n v="1"/>
    <m/>
    <x v="5"/>
    <x v="1"/>
    <s v="no"/>
    <x v="0"/>
    <s v="No"/>
    <s v="yes"/>
    <s v="No"/>
    <n v="0"/>
    <s v="Normal"/>
  </r>
  <r>
    <x v="383"/>
    <x v="227"/>
    <s v="C191"/>
    <x v="2"/>
    <s v="P3"/>
    <n v="3"/>
    <n v="499"/>
    <x v="4"/>
    <x v="3"/>
    <s v="yes"/>
    <x v="1"/>
    <s v="No"/>
    <s v="no"/>
    <s v="No"/>
    <n v="1497"/>
    <s v="Normal"/>
  </r>
  <r>
    <x v="384"/>
    <x v="228"/>
    <s v="C141"/>
    <x v="2"/>
    <s v="P41"/>
    <n v="5"/>
    <m/>
    <x v="2"/>
    <x v="1"/>
    <s v="no"/>
    <x v="0"/>
    <s v="No"/>
    <s v="no"/>
    <s v="No"/>
    <n v="0"/>
    <s v="Normal"/>
  </r>
  <r>
    <x v="385"/>
    <x v="53"/>
    <s v="C160"/>
    <x v="4"/>
    <s v="P60"/>
    <n v="4"/>
    <n v="1999"/>
    <x v="5"/>
    <x v="97"/>
    <s v="yes"/>
    <x v="0"/>
    <s v="Yes"/>
    <s v="yes"/>
    <s v="Yes"/>
    <n v="10189.200000000001"/>
    <s v="Outlier"/>
  </r>
  <r>
    <x v="386"/>
    <x v="229"/>
    <s v="C121"/>
    <x v="0"/>
    <s v="P14"/>
    <n v="1"/>
    <n v="999"/>
    <x v="2"/>
    <x v="29"/>
    <s v="no"/>
    <x v="0"/>
    <s v="No"/>
    <s v="no"/>
    <s v="No"/>
    <n v="949.05"/>
    <s v="Normal"/>
  </r>
  <r>
    <x v="387"/>
    <x v="121"/>
    <s v="C120"/>
    <x v="3"/>
    <s v="P75"/>
    <n v="1"/>
    <n v="499"/>
    <x v="5"/>
    <x v="43"/>
    <s v="no"/>
    <x v="0"/>
    <s v="Yes"/>
    <s v="yes"/>
    <s v="No"/>
    <n v="399.2"/>
    <s v="Normal"/>
  </r>
  <r>
    <x v="388"/>
    <x v="52"/>
    <s v="C169"/>
    <x v="2"/>
    <s v="P82"/>
    <n v="5"/>
    <n v="299"/>
    <x v="5"/>
    <x v="42"/>
    <s v="no"/>
    <x v="0"/>
    <s v="Yes"/>
    <s v="yes"/>
    <s v="No"/>
    <n v="2892.6"/>
    <s v="Normal"/>
  </r>
  <r>
    <x v="389"/>
    <x v="230"/>
    <s v="C100"/>
    <x v="0"/>
    <s v="P12"/>
    <n v="1"/>
    <n v="999"/>
    <x v="2"/>
    <x v="29"/>
    <s v="no"/>
    <x v="0"/>
    <s v="No"/>
    <s v="no"/>
    <s v="No"/>
    <n v="949.05"/>
    <s v="Normal"/>
  </r>
  <r>
    <x v="390"/>
    <x v="231"/>
    <s v="C104"/>
    <x v="0"/>
    <s v="P87"/>
    <n v="4"/>
    <n v="499"/>
    <x v="1"/>
    <x v="2"/>
    <s v="yes"/>
    <x v="0"/>
    <s v="No"/>
    <s v="no"/>
    <s v="No"/>
    <n v="1696.6"/>
    <s v="Normal"/>
  </r>
  <r>
    <x v="391"/>
    <x v="215"/>
    <s v="C111"/>
    <x v="3"/>
    <s v="P12"/>
    <n v="4"/>
    <n v="1499"/>
    <x v="5"/>
    <x v="79"/>
    <s v="yes"/>
    <x v="0"/>
    <s v="Yes"/>
    <s v="yes"/>
    <s v="Yes"/>
    <n v="10493.95"/>
    <s v="Normal"/>
  </r>
  <r>
    <x v="392"/>
    <x v="8"/>
    <s v="C189"/>
    <x v="4"/>
    <s v="P13"/>
    <n v="2"/>
    <n v="1499"/>
    <x v="0"/>
    <x v="96"/>
    <s v="yes"/>
    <x v="0"/>
    <s v="Yes"/>
    <s v="no"/>
    <s v="Yes"/>
    <n v="4252.3999999999996"/>
    <s v="Normal"/>
  </r>
  <r>
    <x v="393"/>
    <x v="216"/>
    <s v="C145"/>
    <x v="1"/>
    <s v="P25"/>
    <n v="2"/>
    <n v="1499"/>
    <x v="4"/>
    <x v="4"/>
    <s v="yes"/>
    <x v="1"/>
    <s v="Yes"/>
    <s v="no"/>
    <s v="Yes"/>
    <n v="2998"/>
    <s v="Normal"/>
  </r>
  <r>
    <x v="394"/>
    <x v="34"/>
    <s v="C133"/>
    <x v="1"/>
    <s v="P45"/>
    <n v="2"/>
    <n v="1499"/>
    <x v="1"/>
    <x v="46"/>
    <s v="yes"/>
    <x v="0"/>
    <s v="Yes"/>
    <s v="no"/>
    <s v="Yes"/>
    <n v="6245.55"/>
    <s v="Normal"/>
  </r>
  <r>
    <x v="395"/>
    <x v="186"/>
    <s v="C148"/>
    <x v="0"/>
    <s v="P19"/>
    <n v="1"/>
    <n v="299"/>
    <x v="2"/>
    <x v="102"/>
    <s v="no"/>
    <x v="0"/>
    <s v="Yes"/>
    <s v="no"/>
    <s v="No"/>
    <n v="284.05"/>
    <s v="Normal"/>
  </r>
  <r>
    <x v="396"/>
    <x v="232"/>
    <s v="C177"/>
    <x v="3"/>
    <s v="P55"/>
    <n v="4"/>
    <m/>
    <x v="1"/>
    <x v="1"/>
    <s v="no"/>
    <x v="0"/>
    <s v="No"/>
    <s v="no"/>
    <s v="No"/>
    <n v="0"/>
    <s v="Normal"/>
  </r>
  <r>
    <x v="397"/>
    <x v="88"/>
    <s v="C189"/>
    <x v="1"/>
    <s v="P45"/>
    <n v="2"/>
    <n v="499"/>
    <x v="3"/>
    <x v="21"/>
    <s v="no"/>
    <x v="1"/>
    <s v="Yes"/>
    <s v="no"/>
    <s v="No"/>
    <n v="1895"/>
    <s v="Normal"/>
  </r>
  <r>
    <x v="398"/>
    <x v="32"/>
    <s v="C144"/>
    <x v="0"/>
    <s v="P8"/>
    <n v="4"/>
    <n v="299"/>
    <x v="3"/>
    <x v="42"/>
    <s v="no"/>
    <x v="1"/>
    <s v="Yes"/>
    <s v="no"/>
    <s v="No"/>
    <n v="6729"/>
    <s v="Normal"/>
  </r>
  <r>
    <x v="399"/>
    <x v="233"/>
    <s v="C126"/>
    <x v="4"/>
    <s v="P93"/>
    <n v="1"/>
    <n v="1499"/>
    <x v="5"/>
    <x v="115"/>
    <s v="no"/>
    <x v="0"/>
    <s v="No"/>
    <s v="yes"/>
    <s v="No"/>
    <n v="1199.2"/>
    <s v="Normal"/>
  </r>
  <r>
    <x v="400"/>
    <x v="15"/>
    <s v="C172"/>
    <x v="1"/>
    <s v="P53"/>
    <m/>
    <n v="1999"/>
    <x v="5"/>
    <x v="1"/>
    <s v="no"/>
    <x v="0"/>
    <s v="Yes"/>
    <s v="yes"/>
    <s v="No"/>
    <n v="2998"/>
    <s v="Normal"/>
  </r>
  <r>
    <x v="401"/>
    <x v="23"/>
    <s v="C125"/>
    <x v="0"/>
    <s v="P55"/>
    <n v="2"/>
    <m/>
    <x v="0"/>
    <x v="1"/>
    <s v="no"/>
    <x v="0"/>
    <s v="Yes"/>
    <s v="no"/>
    <s v="No"/>
    <n v="1349.1"/>
    <s v="Normal"/>
  </r>
  <r>
    <x v="402"/>
    <x v="212"/>
    <s v="C146"/>
    <x v="0"/>
    <s v="P32"/>
    <n v="0"/>
    <n v="1999"/>
    <x v="4"/>
    <x v="8"/>
    <s v="no"/>
    <x v="1"/>
    <s v="Yes"/>
    <s v="no"/>
    <s v="No"/>
    <n v="3869.8500000000004"/>
    <s v="Normal"/>
  </r>
  <r>
    <x v="403"/>
    <x v="216"/>
    <s v="C185"/>
    <x v="2"/>
    <s v="P51"/>
    <n v="0"/>
    <n v="999"/>
    <x v="1"/>
    <x v="8"/>
    <s v="no"/>
    <x v="0"/>
    <s v="Yes"/>
    <s v="no"/>
    <s v="No"/>
    <n v="2998"/>
    <s v="Normal"/>
  </r>
  <r>
    <x v="404"/>
    <x v="234"/>
    <s v="C155"/>
    <x v="4"/>
    <s v="P44"/>
    <n v="3"/>
    <n v="1999"/>
    <x v="3"/>
    <x v="49"/>
    <s v="yes"/>
    <x v="1"/>
    <s v="No"/>
    <s v="no"/>
    <s v="No"/>
    <n v="5997"/>
    <s v="Outlier"/>
  </r>
  <r>
    <x v="405"/>
    <x v="149"/>
    <s v="C193"/>
    <x v="2"/>
    <s v="P82"/>
    <n v="3"/>
    <n v="999"/>
    <x v="5"/>
    <x v="86"/>
    <s v="yes"/>
    <x v="0"/>
    <s v="Yes"/>
    <s v="yes"/>
    <s v="Yes"/>
    <n v="6469.25"/>
    <s v="Normal"/>
  </r>
  <r>
    <x v="406"/>
    <x v="30"/>
    <s v="C162"/>
    <x v="3"/>
    <s v="P70"/>
    <n v="4"/>
    <n v="999"/>
    <x v="4"/>
    <x v="116"/>
    <s v="yes"/>
    <x v="1"/>
    <s v="Yes"/>
    <s v="no"/>
    <s v="Yes"/>
    <n v="5689"/>
    <s v="Normal"/>
  </r>
  <r>
    <x v="407"/>
    <x v="168"/>
    <s v="C147"/>
    <x v="2"/>
    <s v="P18"/>
    <n v="1"/>
    <n v="1499"/>
    <x v="1"/>
    <x v="106"/>
    <s v="no"/>
    <x v="0"/>
    <s v="Yes"/>
    <s v="no"/>
    <s v="No"/>
    <n v="4272.1499999999996"/>
    <s v="Normal"/>
  </r>
  <r>
    <x v="408"/>
    <x v="2"/>
    <s v="C160"/>
    <x v="2"/>
    <s v="P83"/>
    <n v="0"/>
    <n v="999"/>
    <x v="5"/>
    <x v="8"/>
    <s v="no"/>
    <x v="0"/>
    <s v="Yes"/>
    <s v="yes"/>
    <s v="No"/>
    <n v="3556.6"/>
    <s v="Normal"/>
  </r>
  <r>
    <x v="409"/>
    <x v="59"/>
    <s v="C180"/>
    <x v="1"/>
    <s v="P22"/>
    <n v="2"/>
    <n v="199"/>
    <x v="5"/>
    <x v="7"/>
    <s v="no"/>
    <x v="0"/>
    <s v="Yes"/>
    <s v="yes"/>
    <s v="No"/>
    <n v="6687.6"/>
    <s v="Normal"/>
  </r>
  <r>
    <x v="410"/>
    <x v="107"/>
    <s v="C125"/>
    <x v="0"/>
    <s v="P37"/>
    <n v="2"/>
    <n v="499"/>
    <x v="3"/>
    <x v="21"/>
    <s v="no"/>
    <x v="1"/>
    <s v="Yes"/>
    <s v="no"/>
    <s v="No"/>
    <n v="8993"/>
    <s v="Normal"/>
  </r>
  <r>
    <x v="411"/>
    <x v="53"/>
    <s v="C135"/>
    <x v="4"/>
    <s v="P96"/>
    <n v="2"/>
    <n v="499"/>
    <x v="3"/>
    <x v="21"/>
    <s v="no"/>
    <x v="1"/>
    <s v="Yes"/>
    <s v="no"/>
    <s v="No"/>
    <n v="10189.200000000001"/>
    <s v="Normal"/>
  </r>
  <r>
    <x v="412"/>
    <x v="50"/>
    <s v="C100"/>
    <x v="2"/>
    <s v="P56"/>
    <m/>
    <n v="1499"/>
    <x v="5"/>
    <x v="1"/>
    <s v="no"/>
    <x v="0"/>
    <s v="Yes"/>
    <s v="yes"/>
    <s v="No"/>
    <n v="3531.3"/>
    <s v="Normal"/>
  </r>
  <r>
    <x v="413"/>
    <x v="179"/>
    <s v="C107"/>
    <x v="4"/>
    <s v="P59"/>
    <m/>
    <n v="199"/>
    <x v="2"/>
    <x v="1"/>
    <s v="no"/>
    <x v="0"/>
    <s v="Yes"/>
    <s v="no"/>
    <s v="No"/>
    <n v="378.1"/>
    <s v="Normal"/>
  </r>
  <r>
    <x v="414"/>
    <x v="134"/>
    <s v="C198"/>
    <x v="2"/>
    <s v="P3"/>
    <n v="5"/>
    <n v="1999"/>
    <x v="5"/>
    <x v="33"/>
    <s v="yes"/>
    <x v="0"/>
    <s v="Yes"/>
    <s v="yes"/>
    <s v="Yes"/>
    <n v="8945.0499999999993"/>
    <s v="Outlier"/>
  </r>
  <r>
    <x v="415"/>
    <x v="109"/>
    <s v="C151"/>
    <x v="3"/>
    <s v="P28"/>
    <n v="4"/>
    <n v="299"/>
    <x v="4"/>
    <x v="42"/>
    <s v="no"/>
    <x v="1"/>
    <s v="Yes"/>
    <s v="no"/>
    <s v="No"/>
    <n v="1794"/>
    <s v="Normal"/>
  </r>
  <r>
    <x v="416"/>
    <x v="0"/>
    <s v="C178"/>
    <x v="2"/>
    <s v="P74"/>
    <n v="2"/>
    <n v="1999"/>
    <x v="5"/>
    <x v="16"/>
    <s v="yes"/>
    <x v="0"/>
    <s v="Yes"/>
    <s v="yes"/>
    <s v="Yes"/>
    <n v="3914.8"/>
    <s v="Normal"/>
  </r>
  <r>
    <x v="417"/>
    <x v="235"/>
    <s v="C146"/>
    <x v="1"/>
    <s v="P35"/>
    <n v="2"/>
    <n v="299"/>
    <x v="0"/>
    <x v="101"/>
    <s v="no"/>
    <x v="0"/>
    <s v="No"/>
    <s v="no"/>
    <s v="No"/>
    <n v="538.20000000000005"/>
    <s v="Normal"/>
  </r>
  <r>
    <x v="418"/>
    <x v="236"/>
    <s v="C155"/>
    <x v="0"/>
    <s v="P61"/>
    <n v="2"/>
    <n v="999"/>
    <x v="0"/>
    <x v="18"/>
    <s v="yes"/>
    <x v="0"/>
    <s v="No"/>
    <s v="no"/>
    <s v="No"/>
    <n v="1798.2"/>
    <s v="Normal"/>
  </r>
  <r>
    <x v="419"/>
    <x v="196"/>
    <s v="C185"/>
    <x v="3"/>
    <s v="P93"/>
    <n v="4"/>
    <m/>
    <x v="0"/>
    <x v="1"/>
    <s v="no"/>
    <x v="0"/>
    <s v="Yes"/>
    <s v="no"/>
    <s v="No"/>
    <n v="796"/>
    <s v="Normal"/>
  </r>
  <r>
    <x v="420"/>
    <x v="237"/>
    <s v="C113"/>
    <x v="2"/>
    <s v="P54"/>
    <n v="1"/>
    <n v="299"/>
    <x v="2"/>
    <x v="102"/>
    <s v="no"/>
    <x v="0"/>
    <s v="No"/>
    <s v="no"/>
    <s v="No"/>
    <n v="284.05"/>
    <s v="Normal"/>
  </r>
  <r>
    <x v="421"/>
    <x v="238"/>
    <s v="C189"/>
    <x v="4"/>
    <s v="P63"/>
    <n v="2"/>
    <m/>
    <x v="2"/>
    <x v="1"/>
    <s v="no"/>
    <x v="0"/>
    <s v="Yes"/>
    <s v="no"/>
    <s v="No"/>
    <n v="199"/>
    <s v="Normal"/>
  </r>
  <r>
    <x v="422"/>
    <x v="223"/>
    <s v="C127"/>
    <x v="3"/>
    <s v="P79"/>
    <n v="1"/>
    <n v="499"/>
    <x v="5"/>
    <x v="43"/>
    <s v="no"/>
    <x v="0"/>
    <s v="Yes"/>
    <s v="yes"/>
    <s v="No"/>
    <n v="4195.3999999999996"/>
    <s v="Normal"/>
  </r>
  <r>
    <x v="423"/>
    <x v="239"/>
    <s v="C186"/>
    <x v="3"/>
    <s v="P97"/>
    <n v="2"/>
    <m/>
    <x v="0"/>
    <x v="1"/>
    <s v="no"/>
    <x v="0"/>
    <s v="No"/>
    <s v="no"/>
    <s v="No"/>
    <n v="0"/>
    <s v="Normal"/>
  </r>
  <r>
    <x v="424"/>
    <x v="172"/>
    <s v="C177"/>
    <x v="2"/>
    <s v="P7"/>
    <n v="4"/>
    <n v="499"/>
    <x v="2"/>
    <x v="117"/>
    <s v="yes"/>
    <x v="0"/>
    <s v="Yes"/>
    <s v="no"/>
    <s v="Yes"/>
    <n v="4443.6499999999996"/>
    <s v="Normal"/>
  </r>
  <r>
    <x v="425"/>
    <x v="165"/>
    <s v="C187"/>
    <x v="3"/>
    <s v="P76"/>
    <n v="4"/>
    <n v="199"/>
    <x v="3"/>
    <x v="85"/>
    <s v="no"/>
    <x v="1"/>
    <s v="Yes"/>
    <s v="no"/>
    <s v="No"/>
    <n v="3092.35"/>
    <s v="Normal"/>
  </r>
  <r>
    <x v="426"/>
    <x v="240"/>
    <s v="C101"/>
    <x v="4"/>
    <s v="P49"/>
    <n v="1"/>
    <n v="199"/>
    <x v="5"/>
    <x v="83"/>
    <s v="no"/>
    <x v="0"/>
    <s v="No"/>
    <s v="yes"/>
    <s v="No"/>
    <n v="159.19999999999999"/>
    <s v="Normal"/>
  </r>
  <r>
    <x v="427"/>
    <x v="167"/>
    <s v="C125"/>
    <x v="3"/>
    <s v="P94"/>
    <m/>
    <n v="1499"/>
    <x v="4"/>
    <x v="1"/>
    <s v="no"/>
    <x v="1"/>
    <s v="Yes"/>
    <s v="no"/>
    <s v="No"/>
    <n v="179.1"/>
    <s v="Normal"/>
  </r>
  <r>
    <x v="428"/>
    <x v="60"/>
    <s v="C113"/>
    <x v="4"/>
    <s v="P85"/>
    <n v="3"/>
    <n v="1499"/>
    <x v="1"/>
    <x v="30"/>
    <s v="yes"/>
    <x v="0"/>
    <s v="Yes"/>
    <s v="no"/>
    <s v="Yes"/>
    <n v="8068.2"/>
    <s v="Normal"/>
  </r>
  <r>
    <x v="429"/>
    <x v="193"/>
    <s v="C158"/>
    <x v="2"/>
    <s v="P31"/>
    <n v="0"/>
    <n v="999"/>
    <x v="5"/>
    <x v="8"/>
    <s v="no"/>
    <x v="0"/>
    <s v="Yes"/>
    <s v="yes"/>
    <s v="No"/>
    <n v="3298.3500000000004"/>
    <s v="Normal"/>
  </r>
  <r>
    <x v="430"/>
    <x v="170"/>
    <s v="C155"/>
    <x v="0"/>
    <s v="P58"/>
    <n v="1"/>
    <n v="299"/>
    <x v="1"/>
    <x v="93"/>
    <s v="no"/>
    <x v="0"/>
    <s v="Yes"/>
    <s v="no"/>
    <s v="No"/>
    <n v="12043.649999999998"/>
    <s v="Normal"/>
  </r>
  <r>
    <x v="431"/>
    <x v="241"/>
    <s v="C106"/>
    <x v="3"/>
    <s v="P61"/>
    <n v="1"/>
    <n v="999"/>
    <x v="0"/>
    <x v="12"/>
    <s v="no"/>
    <x v="0"/>
    <s v="No"/>
    <s v="no"/>
    <s v="No"/>
    <n v="899.1"/>
    <s v="Normal"/>
  </r>
  <r>
    <x v="432"/>
    <x v="183"/>
    <s v="C102"/>
    <x v="0"/>
    <s v="P24"/>
    <n v="1"/>
    <n v="499"/>
    <x v="1"/>
    <x v="80"/>
    <s v="no"/>
    <x v="0"/>
    <s v="Yes"/>
    <s v="no"/>
    <s v="No"/>
    <n v="424.15"/>
    <s v="Normal"/>
  </r>
  <r>
    <x v="433"/>
    <x v="242"/>
    <s v="C122"/>
    <x v="4"/>
    <s v="P20"/>
    <m/>
    <n v="999"/>
    <x v="0"/>
    <x v="1"/>
    <s v="no"/>
    <x v="0"/>
    <s v="No"/>
    <s v="no"/>
    <s v="No"/>
    <n v="0"/>
    <s v="Normal"/>
  </r>
  <r>
    <x v="434"/>
    <x v="243"/>
    <s v="C117"/>
    <x v="3"/>
    <s v="P37"/>
    <n v="2"/>
    <m/>
    <x v="3"/>
    <x v="1"/>
    <s v="no"/>
    <x v="1"/>
    <s v="No"/>
    <s v="no"/>
    <s v="No"/>
    <n v="0"/>
    <s v="Normal"/>
  </r>
  <r>
    <x v="435"/>
    <x v="52"/>
    <s v="C137"/>
    <x v="1"/>
    <s v="P4"/>
    <n v="4"/>
    <n v="499"/>
    <x v="1"/>
    <x v="2"/>
    <s v="yes"/>
    <x v="0"/>
    <s v="Yes"/>
    <s v="no"/>
    <s v="Yes"/>
    <n v="2892.6"/>
    <s v="Normal"/>
  </r>
  <r>
    <x v="436"/>
    <x v="212"/>
    <s v="C198"/>
    <x v="0"/>
    <s v="P92"/>
    <n v="2"/>
    <n v="1499"/>
    <x v="5"/>
    <x v="57"/>
    <s v="yes"/>
    <x v="0"/>
    <s v="Yes"/>
    <s v="yes"/>
    <s v="Yes"/>
    <n v="3869.8500000000004"/>
    <s v="Normal"/>
  </r>
  <r>
    <x v="437"/>
    <x v="49"/>
    <s v="C114"/>
    <x v="3"/>
    <s v="P20"/>
    <n v="1"/>
    <n v="199"/>
    <x v="0"/>
    <x v="11"/>
    <s v="no"/>
    <x v="0"/>
    <s v="Yes"/>
    <s v="no"/>
    <s v="No"/>
    <n v="3653.7"/>
    <s v="Normal"/>
  </r>
  <r>
    <x v="438"/>
    <x v="244"/>
    <s v="C163"/>
    <x v="0"/>
    <s v="P60"/>
    <n v="2"/>
    <n v="1499"/>
    <x v="5"/>
    <x v="57"/>
    <s v="yes"/>
    <x v="0"/>
    <s v="No"/>
    <s v="yes"/>
    <s v="No"/>
    <n v="2398.4"/>
    <s v="Normal"/>
  </r>
  <r>
    <x v="439"/>
    <x v="245"/>
    <s v="C188"/>
    <x v="3"/>
    <s v="P24"/>
    <n v="1"/>
    <n v="299"/>
    <x v="2"/>
    <x v="102"/>
    <s v="no"/>
    <x v="0"/>
    <s v="No"/>
    <s v="no"/>
    <s v="No"/>
    <n v="284.05"/>
    <s v="Normal"/>
  </r>
  <r>
    <x v="440"/>
    <x v="145"/>
    <s v="C127"/>
    <x v="2"/>
    <s v="P50"/>
    <n v="2"/>
    <n v="499"/>
    <x v="0"/>
    <x v="73"/>
    <s v="no"/>
    <x v="0"/>
    <s v="Yes"/>
    <s v="no"/>
    <s v="No"/>
    <n v="2894.2"/>
    <s v="Normal"/>
  </r>
  <r>
    <x v="441"/>
    <x v="246"/>
    <s v="C173"/>
    <x v="0"/>
    <s v="P49"/>
    <n v="5"/>
    <n v="499"/>
    <x v="1"/>
    <x v="118"/>
    <s v="yes"/>
    <x v="0"/>
    <s v="No"/>
    <s v="no"/>
    <s v="No"/>
    <n v="2120.75"/>
    <s v="Normal"/>
  </r>
  <r>
    <x v="442"/>
    <x v="217"/>
    <s v="C138"/>
    <x v="1"/>
    <s v="P51"/>
    <n v="2"/>
    <m/>
    <x v="0"/>
    <x v="1"/>
    <s v="no"/>
    <x v="0"/>
    <s v="Yes"/>
    <s v="no"/>
    <s v="No"/>
    <n v="0"/>
    <s v="Normal"/>
  </r>
  <r>
    <x v="443"/>
    <x v="86"/>
    <s v="C156"/>
    <x v="1"/>
    <s v="P96"/>
    <n v="3"/>
    <n v="299"/>
    <x v="5"/>
    <x v="100"/>
    <s v="no"/>
    <x v="0"/>
    <s v="Yes"/>
    <s v="yes"/>
    <s v="No"/>
    <n v="5564.75"/>
    <s v="Normal"/>
  </r>
  <r>
    <x v="444"/>
    <x v="212"/>
    <s v="C116"/>
    <x v="4"/>
    <s v="P36"/>
    <n v="1"/>
    <n v="199"/>
    <x v="3"/>
    <x v="22"/>
    <s v="no"/>
    <x v="1"/>
    <s v="Yes"/>
    <s v="no"/>
    <s v="No"/>
    <n v="3869.8500000000004"/>
    <s v="Normal"/>
  </r>
  <r>
    <x v="445"/>
    <x v="7"/>
    <s v="C185"/>
    <x v="3"/>
    <s v="P98"/>
    <n v="0"/>
    <n v="1999"/>
    <x v="0"/>
    <x v="8"/>
    <s v="no"/>
    <x v="0"/>
    <s v="Yes"/>
    <s v="no"/>
    <s v="No"/>
    <n v="358.2"/>
    <s v="Normal"/>
  </r>
  <r>
    <x v="446"/>
    <x v="247"/>
    <s v="C189"/>
    <x v="0"/>
    <s v="P66"/>
    <n v="1"/>
    <n v="499"/>
    <x v="1"/>
    <x v="80"/>
    <s v="no"/>
    <x v="0"/>
    <s v="No"/>
    <s v="no"/>
    <s v="No"/>
    <n v="424.15"/>
    <s v="Normal"/>
  </r>
  <r>
    <x v="447"/>
    <x v="248"/>
    <s v="C143"/>
    <x v="4"/>
    <s v="P79"/>
    <n v="3"/>
    <n v="499"/>
    <x v="2"/>
    <x v="76"/>
    <s v="yes"/>
    <x v="0"/>
    <s v="No"/>
    <s v="no"/>
    <s v="No"/>
    <n v="1422.15"/>
    <s v="Normal"/>
  </r>
  <r>
    <x v="448"/>
    <x v="249"/>
    <s v="C124"/>
    <x v="0"/>
    <s v="P34"/>
    <n v="1"/>
    <m/>
    <x v="4"/>
    <x v="1"/>
    <s v="no"/>
    <x v="1"/>
    <s v="Yes"/>
    <s v="no"/>
    <s v="No"/>
    <n v="299"/>
    <s v="Normal"/>
  </r>
  <r>
    <x v="449"/>
    <x v="119"/>
    <s v="C116"/>
    <x v="3"/>
    <s v="P36"/>
    <n v="2"/>
    <n v="999"/>
    <x v="3"/>
    <x v="114"/>
    <s v="yes"/>
    <x v="1"/>
    <s v="Yes"/>
    <s v="no"/>
    <s v="Yes"/>
    <n v="7568.65"/>
    <s v="Normal"/>
  </r>
  <r>
    <x v="450"/>
    <x v="156"/>
    <s v="C112"/>
    <x v="1"/>
    <s v="P6"/>
    <n v="3"/>
    <n v="199"/>
    <x v="2"/>
    <x v="119"/>
    <s v="no"/>
    <x v="0"/>
    <s v="Yes"/>
    <s v="no"/>
    <s v="No"/>
    <n v="1165.1500000000001"/>
    <s v="Normal"/>
  </r>
  <r>
    <x v="451"/>
    <x v="250"/>
    <s v="C183"/>
    <x v="2"/>
    <s v="P39"/>
    <n v="2"/>
    <n v="1499"/>
    <x v="0"/>
    <x v="96"/>
    <s v="yes"/>
    <x v="0"/>
    <s v="No"/>
    <s v="no"/>
    <s v="No"/>
    <n v="2698.2"/>
    <s v="Normal"/>
  </r>
  <r>
    <x v="452"/>
    <x v="99"/>
    <s v="C124"/>
    <x v="1"/>
    <s v="P42"/>
    <n v="1"/>
    <n v="299"/>
    <x v="5"/>
    <x v="89"/>
    <s v="no"/>
    <x v="0"/>
    <s v="Yes"/>
    <s v="yes"/>
    <s v="No"/>
    <n v="1238.2"/>
    <s v="Normal"/>
  </r>
  <r>
    <x v="453"/>
    <x v="44"/>
    <s v="C167"/>
    <x v="4"/>
    <s v="P58"/>
    <n v="1"/>
    <n v="499"/>
    <x v="5"/>
    <x v="43"/>
    <s v="no"/>
    <x v="0"/>
    <s v="Yes"/>
    <s v="yes"/>
    <s v="No"/>
    <n v="1748.3"/>
    <s v="Normal"/>
  </r>
  <r>
    <x v="454"/>
    <x v="75"/>
    <s v="C109"/>
    <x v="2"/>
    <s v="P12"/>
    <n v="5"/>
    <n v="499"/>
    <x v="1"/>
    <x v="118"/>
    <s v="yes"/>
    <x v="0"/>
    <s v="Yes"/>
    <s v="no"/>
    <s v="Yes"/>
    <n v="17212.349999999999"/>
    <s v="Normal"/>
  </r>
  <r>
    <x v="455"/>
    <x v="251"/>
    <s v="C166"/>
    <x v="4"/>
    <s v="P3"/>
    <n v="3"/>
    <n v="1499"/>
    <x v="5"/>
    <x v="84"/>
    <s v="yes"/>
    <x v="0"/>
    <s v="No"/>
    <s v="yes"/>
    <s v="No"/>
    <n v="3597.6"/>
    <s v="Normal"/>
  </r>
  <r>
    <x v="456"/>
    <x v="5"/>
    <s v="C117"/>
    <x v="3"/>
    <s v="P18"/>
    <n v="2"/>
    <n v="199"/>
    <x v="3"/>
    <x v="40"/>
    <s v="no"/>
    <x v="1"/>
    <s v="Yes"/>
    <s v="no"/>
    <s v="No"/>
    <n v="756.2"/>
    <s v="Normal"/>
  </r>
  <r>
    <x v="457"/>
    <x v="20"/>
    <s v="C199"/>
    <x v="2"/>
    <s v="P40"/>
    <n v="0"/>
    <n v="999"/>
    <x v="5"/>
    <x v="8"/>
    <s v="no"/>
    <x v="0"/>
    <s v="Yes"/>
    <s v="yes"/>
    <s v="No"/>
    <n v="0"/>
    <s v="Normal"/>
  </r>
  <r>
    <x v="458"/>
    <x v="252"/>
    <s v="C185"/>
    <x v="4"/>
    <s v="P21"/>
    <m/>
    <n v="499"/>
    <x v="1"/>
    <x v="1"/>
    <s v="no"/>
    <x v="0"/>
    <s v="Yes"/>
    <s v="no"/>
    <s v="No"/>
    <n v="159.19999999999999"/>
    <s v="Normal"/>
  </r>
  <r>
    <x v="459"/>
    <x v="253"/>
    <s v="C133"/>
    <x v="3"/>
    <s v="P15"/>
    <n v="3"/>
    <n v="199"/>
    <x v="4"/>
    <x v="72"/>
    <s v="no"/>
    <x v="1"/>
    <s v="No"/>
    <s v="no"/>
    <s v="No"/>
    <n v="597"/>
    <s v="Normal"/>
  </r>
  <r>
    <x v="460"/>
    <x v="1"/>
    <s v="C107"/>
    <x v="1"/>
    <s v="P97"/>
    <n v="2"/>
    <n v="1499"/>
    <x v="0"/>
    <x v="96"/>
    <s v="yes"/>
    <x v="0"/>
    <s v="Yes"/>
    <s v="no"/>
    <s v="Yes"/>
    <n v="7282.8"/>
    <s v="Normal"/>
  </r>
  <r>
    <x v="461"/>
    <x v="157"/>
    <s v="C139"/>
    <x v="3"/>
    <s v="P99"/>
    <n v="4"/>
    <m/>
    <x v="0"/>
    <x v="1"/>
    <s v="no"/>
    <x v="0"/>
    <s v="Yes"/>
    <s v="no"/>
    <s v="No"/>
    <n v="3071.55"/>
    <s v="Normal"/>
  </r>
  <r>
    <x v="462"/>
    <x v="254"/>
    <s v="C182"/>
    <x v="0"/>
    <s v="P26"/>
    <n v="1"/>
    <n v="999"/>
    <x v="5"/>
    <x v="63"/>
    <s v="no"/>
    <x v="0"/>
    <s v="No"/>
    <s v="yes"/>
    <s v="No"/>
    <n v="799.2"/>
    <s v="Normal"/>
  </r>
  <r>
    <x v="463"/>
    <x v="255"/>
    <s v="C141"/>
    <x v="3"/>
    <s v="P8"/>
    <n v="2"/>
    <n v="299"/>
    <x v="2"/>
    <x v="120"/>
    <s v="no"/>
    <x v="0"/>
    <s v="No"/>
    <s v="no"/>
    <s v="No"/>
    <n v="568.1"/>
    <s v="Normal"/>
  </r>
  <r>
    <x v="464"/>
    <x v="165"/>
    <s v="C140"/>
    <x v="3"/>
    <s v="P94"/>
    <n v="3"/>
    <n v="499"/>
    <x v="0"/>
    <x v="58"/>
    <s v="no"/>
    <x v="0"/>
    <s v="Yes"/>
    <s v="no"/>
    <s v="No"/>
    <n v="3092.35"/>
    <s v="Normal"/>
  </r>
  <r>
    <x v="465"/>
    <x v="129"/>
    <s v="C105"/>
    <x v="0"/>
    <s v="P87"/>
    <n v="1"/>
    <n v="199"/>
    <x v="4"/>
    <x v="22"/>
    <s v="no"/>
    <x v="1"/>
    <s v="Yes"/>
    <s v="no"/>
    <s v="No"/>
    <n v="597"/>
    <s v="Normal"/>
  </r>
  <r>
    <x v="466"/>
    <x v="256"/>
    <s v="C151"/>
    <x v="4"/>
    <s v="P42"/>
    <m/>
    <m/>
    <x v="5"/>
    <x v="1"/>
    <s v="no"/>
    <x v="0"/>
    <s v="No"/>
    <s v="yes"/>
    <s v="No"/>
    <n v="0"/>
    <s v="Normal"/>
  </r>
  <r>
    <x v="467"/>
    <x v="257"/>
    <s v="C125"/>
    <x v="4"/>
    <s v="P44"/>
    <n v="3"/>
    <n v="299"/>
    <x v="1"/>
    <x v="121"/>
    <s v="no"/>
    <x v="0"/>
    <s v="No"/>
    <s v="no"/>
    <s v="No"/>
    <n v="762.44999999999993"/>
    <s v="Normal"/>
  </r>
  <r>
    <x v="468"/>
    <x v="153"/>
    <s v="C163"/>
    <x v="3"/>
    <s v="P14"/>
    <n v="3"/>
    <n v="1999"/>
    <x v="4"/>
    <x v="49"/>
    <s v="yes"/>
    <x v="1"/>
    <s v="Yes"/>
    <s v="no"/>
    <s v="Yes"/>
    <n v="10044.299999999999"/>
    <s v="Outlier"/>
  </r>
  <r>
    <x v="469"/>
    <x v="252"/>
    <s v="C197"/>
    <x v="0"/>
    <s v="P78"/>
    <n v="1"/>
    <n v="199"/>
    <x v="5"/>
    <x v="83"/>
    <s v="no"/>
    <x v="0"/>
    <s v="Yes"/>
    <s v="yes"/>
    <s v="No"/>
    <n v="159.19999999999999"/>
    <s v="Normal"/>
  </r>
  <r>
    <x v="470"/>
    <x v="238"/>
    <s v="C158"/>
    <x v="0"/>
    <s v="P2"/>
    <n v="1"/>
    <n v="199"/>
    <x v="4"/>
    <x v="22"/>
    <s v="no"/>
    <x v="1"/>
    <s v="Yes"/>
    <s v="no"/>
    <s v="No"/>
    <n v="199"/>
    <s v="Normal"/>
  </r>
  <r>
    <x v="471"/>
    <x v="258"/>
    <s v="C155"/>
    <x v="1"/>
    <s v="P37"/>
    <n v="2"/>
    <n v="299"/>
    <x v="0"/>
    <x v="101"/>
    <s v="no"/>
    <x v="0"/>
    <s v="No"/>
    <s v="no"/>
    <s v="No"/>
    <n v="538.20000000000005"/>
    <s v="Normal"/>
  </r>
  <r>
    <x v="472"/>
    <x v="192"/>
    <s v="C158"/>
    <x v="4"/>
    <s v="P69"/>
    <n v="4"/>
    <m/>
    <x v="1"/>
    <x v="1"/>
    <s v="no"/>
    <x v="0"/>
    <s v="Yes"/>
    <s v="no"/>
    <s v="No"/>
    <n v="0"/>
    <s v="Normal"/>
  </r>
  <r>
    <x v="473"/>
    <x v="259"/>
    <s v="C169"/>
    <x v="2"/>
    <s v="P38"/>
    <n v="1"/>
    <n v="1999"/>
    <x v="5"/>
    <x v="90"/>
    <s v="yes"/>
    <x v="0"/>
    <s v="No"/>
    <s v="yes"/>
    <s v="No"/>
    <n v="1599.2"/>
    <s v="Normal"/>
  </r>
  <r>
    <x v="474"/>
    <x v="64"/>
    <s v="C132"/>
    <x v="4"/>
    <s v="P41"/>
    <n v="2"/>
    <n v="1499"/>
    <x v="3"/>
    <x v="4"/>
    <s v="yes"/>
    <x v="1"/>
    <s v="Yes"/>
    <s v="no"/>
    <s v="Yes"/>
    <n v="6171.7"/>
    <s v="Normal"/>
  </r>
  <r>
    <x v="475"/>
    <x v="260"/>
    <s v="C152"/>
    <x v="4"/>
    <s v="P62"/>
    <n v="3"/>
    <m/>
    <x v="1"/>
    <x v="1"/>
    <s v="no"/>
    <x v="0"/>
    <s v="No"/>
    <s v="no"/>
    <s v="No"/>
    <n v="0"/>
    <s v="Normal"/>
  </r>
  <r>
    <x v="476"/>
    <x v="173"/>
    <s v="C121"/>
    <x v="1"/>
    <s v="P60"/>
    <n v="1"/>
    <n v="999"/>
    <x v="3"/>
    <x v="27"/>
    <s v="no"/>
    <x v="1"/>
    <s v="Yes"/>
    <s v="no"/>
    <s v="No"/>
    <n v="1737.2"/>
    <s v="Normal"/>
  </r>
  <r>
    <x v="477"/>
    <x v="11"/>
    <s v="C120"/>
    <x v="2"/>
    <s v="P14"/>
    <n v="3"/>
    <n v="499"/>
    <x v="4"/>
    <x v="3"/>
    <s v="yes"/>
    <x v="1"/>
    <s v="Yes"/>
    <s v="no"/>
    <s v="Yes"/>
    <n v="2024.3500000000001"/>
    <s v="Normal"/>
  </r>
  <r>
    <x v="478"/>
    <x v="91"/>
    <s v="C169"/>
    <x v="1"/>
    <s v="P89"/>
    <n v="1"/>
    <n v="299"/>
    <x v="2"/>
    <x v="102"/>
    <s v="no"/>
    <x v="0"/>
    <s v="Yes"/>
    <s v="no"/>
    <s v="No"/>
    <n v="2878.8500000000004"/>
    <s v="Normal"/>
  </r>
  <r>
    <x v="479"/>
    <x v="180"/>
    <s v="C169"/>
    <x v="2"/>
    <s v="P84"/>
    <m/>
    <n v="1499"/>
    <x v="1"/>
    <x v="1"/>
    <s v="no"/>
    <x v="0"/>
    <s v="Yes"/>
    <s v="no"/>
    <s v="No"/>
    <n v="2698.2"/>
    <s v="Normal"/>
  </r>
  <r>
    <x v="480"/>
    <x v="120"/>
    <s v="C103"/>
    <x v="3"/>
    <s v="P2"/>
    <n v="2"/>
    <n v="1999"/>
    <x v="4"/>
    <x v="50"/>
    <s v="yes"/>
    <x v="1"/>
    <s v="Yes"/>
    <s v="no"/>
    <s v="Yes"/>
    <n v="6546.3"/>
    <s v="Normal"/>
  </r>
  <r>
    <x v="481"/>
    <x v="261"/>
    <s v="C193"/>
    <x v="2"/>
    <s v="P70"/>
    <n v="1"/>
    <n v="299"/>
    <x v="3"/>
    <x v="24"/>
    <s v="no"/>
    <x v="1"/>
    <s v="No"/>
    <s v="no"/>
    <s v="No"/>
    <n v="299"/>
    <s v="Normal"/>
  </r>
  <r>
    <x v="482"/>
    <x v="262"/>
    <s v="C174"/>
    <x v="1"/>
    <s v="P17"/>
    <n v="2"/>
    <n v="299"/>
    <x v="0"/>
    <x v="101"/>
    <s v="no"/>
    <x v="0"/>
    <s v="No"/>
    <s v="no"/>
    <s v="No"/>
    <n v="538.20000000000005"/>
    <s v="Normal"/>
  </r>
  <r>
    <x v="483"/>
    <x v="263"/>
    <s v="C161"/>
    <x v="4"/>
    <s v="P89"/>
    <n v="2"/>
    <m/>
    <x v="0"/>
    <x v="1"/>
    <s v="no"/>
    <x v="0"/>
    <s v="Yes"/>
    <s v="no"/>
    <s v="No"/>
    <n v="7996"/>
    <s v="Normal"/>
  </r>
  <r>
    <x v="484"/>
    <x v="264"/>
    <s v="C161"/>
    <x v="2"/>
    <s v="P28"/>
    <n v="4"/>
    <n v="499"/>
    <x v="2"/>
    <x v="117"/>
    <s v="yes"/>
    <x v="0"/>
    <s v="No"/>
    <s v="no"/>
    <s v="No"/>
    <n v="1896.2"/>
    <s v="Normal"/>
  </r>
  <r>
    <x v="485"/>
    <x v="221"/>
    <s v="C193"/>
    <x v="2"/>
    <s v="P66"/>
    <n v="3"/>
    <n v="999"/>
    <x v="1"/>
    <x v="81"/>
    <s v="yes"/>
    <x v="0"/>
    <s v="Yes"/>
    <s v="no"/>
    <s v="Yes"/>
    <n v="3021.5"/>
    <s v="Normal"/>
  </r>
  <r>
    <x v="486"/>
    <x v="162"/>
    <s v="C194"/>
    <x v="0"/>
    <s v="P35"/>
    <n v="3"/>
    <n v="199"/>
    <x v="1"/>
    <x v="6"/>
    <s v="no"/>
    <x v="0"/>
    <s v="Yes"/>
    <s v="no"/>
    <s v="No"/>
    <n v="2701.8500000000004"/>
    <s v="Normal"/>
  </r>
  <r>
    <x v="487"/>
    <x v="11"/>
    <s v="C123"/>
    <x v="4"/>
    <s v="P5"/>
    <n v="1"/>
    <n v="199"/>
    <x v="1"/>
    <x v="62"/>
    <s v="no"/>
    <x v="0"/>
    <s v="Yes"/>
    <s v="no"/>
    <s v="No"/>
    <n v="2024.3500000000001"/>
    <s v="Normal"/>
  </r>
  <r>
    <x v="488"/>
    <x v="249"/>
    <s v="C154"/>
    <x v="3"/>
    <s v="P65"/>
    <n v="1"/>
    <n v="299"/>
    <x v="4"/>
    <x v="24"/>
    <s v="no"/>
    <x v="1"/>
    <s v="Yes"/>
    <s v="no"/>
    <s v="No"/>
    <n v="299"/>
    <s v="Normal"/>
  </r>
  <r>
    <x v="489"/>
    <x v="149"/>
    <s v="C108"/>
    <x v="1"/>
    <s v="P40"/>
    <n v="1"/>
    <n v="499"/>
    <x v="2"/>
    <x v="82"/>
    <s v="no"/>
    <x v="0"/>
    <s v="Yes"/>
    <s v="no"/>
    <s v="No"/>
    <n v="6469.25"/>
    <s v="Normal"/>
  </r>
  <r>
    <x v="490"/>
    <x v="211"/>
    <s v="C102"/>
    <x v="3"/>
    <s v="P76"/>
    <n v="3"/>
    <n v="1999"/>
    <x v="1"/>
    <x v="39"/>
    <s v="yes"/>
    <x v="0"/>
    <s v="Yes"/>
    <s v="no"/>
    <s v="Yes"/>
    <n v="6045.5499999999993"/>
    <s v="Normal"/>
  </r>
  <r>
    <x v="491"/>
    <x v="263"/>
    <s v="C130"/>
    <x v="4"/>
    <s v="P56"/>
    <n v="4"/>
    <n v="1999"/>
    <x v="4"/>
    <x v="33"/>
    <s v="yes"/>
    <x v="1"/>
    <s v="Yes"/>
    <s v="no"/>
    <s v="Yes"/>
    <n v="7996"/>
    <s v="Outlier"/>
  </r>
  <r>
    <x v="492"/>
    <x v="170"/>
    <s v="C139"/>
    <x v="2"/>
    <s v="P36"/>
    <n v="2"/>
    <n v="1499"/>
    <x v="0"/>
    <x v="96"/>
    <s v="yes"/>
    <x v="0"/>
    <s v="Yes"/>
    <s v="no"/>
    <s v="Yes"/>
    <n v="12043.649999999998"/>
    <s v="Normal"/>
  </r>
  <r>
    <x v="493"/>
    <x v="119"/>
    <s v="C135"/>
    <x v="2"/>
    <s v="P45"/>
    <n v="1"/>
    <m/>
    <x v="3"/>
    <x v="1"/>
    <s v="no"/>
    <x v="1"/>
    <s v="Yes"/>
    <s v="no"/>
    <s v="No"/>
    <n v="7568.65"/>
    <s v="Normal"/>
  </r>
  <r>
    <x v="494"/>
    <x v="108"/>
    <s v="C123"/>
    <x v="4"/>
    <s v="P23"/>
    <n v="3"/>
    <n v="499"/>
    <x v="4"/>
    <x v="3"/>
    <s v="yes"/>
    <x v="1"/>
    <s v="Yes"/>
    <s v="no"/>
    <s v="Yes"/>
    <n v="2994"/>
    <s v="Normal"/>
  </r>
  <r>
    <x v="495"/>
    <x v="162"/>
    <s v="C194"/>
    <x v="2"/>
    <s v="P47"/>
    <n v="4"/>
    <n v="499"/>
    <x v="0"/>
    <x v="32"/>
    <s v="yes"/>
    <x v="0"/>
    <s v="Yes"/>
    <s v="no"/>
    <s v="Yes"/>
    <n v="2701.8500000000004"/>
    <s v="Normal"/>
  </r>
  <r>
    <x v="496"/>
    <x v="200"/>
    <s v="C105"/>
    <x v="2"/>
    <s v="P31"/>
    <n v="3"/>
    <m/>
    <x v="0"/>
    <x v="1"/>
    <s v="no"/>
    <x v="0"/>
    <s v="Yes"/>
    <s v="no"/>
    <s v="No"/>
    <n v="807.30000000000007"/>
    <s v="Normal"/>
  </r>
  <r>
    <x v="497"/>
    <x v="265"/>
    <s v="C165"/>
    <x v="2"/>
    <s v="P11"/>
    <n v="4"/>
    <n v="1999"/>
    <x v="3"/>
    <x v="1"/>
    <s v="no"/>
    <x v="1"/>
    <s v="No"/>
    <s v="no"/>
    <s v="No"/>
    <n v="0"/>
    <s v="Normal"/>
  </r>
  <r>
    <x v="498"/>
    <x v="77"/>
    <s v="C183"/>
    <x v="1"/>
    <s v="P10"/>
    <n v="1"/>
    <n v="1999"/>
    <x v="0"/>
    <x v="19"/>
    <s v="yes"/>
    <x v="0"/>
    <s v="Yes"/>
    <s v="no"/>
    <s v="Yes"/>
    <n v="8893.6999999999989"/>
    <s v="Normal"/>
  </r>
  <r>
    <x v="499"/>
    <x v="266"/>
    <s v="C191"/>
    <x v="1"/>
    <s v="P67"/>
    <n v="1"/>
    <n v="1999"/>
    <x v="2"/>
    <x v="103"/>
    <s v="yes"/>
    <x v="0"/>
    <s v="No"/>
    <s v="no"/>
    <s v="No"/>
    <n v="1899.05"/>
    <s v="Normal"/>
  </r>
  <r>
    <x v="500"/>
    <x v="267"/>
    <m/>
    <x v="5"/>
    <m/>
    <m/>
    <m/>
    <x v="4"/>
    <x v="1"/>
    <m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G5" firstHeaderRow="1" firstDataRow="2" firstDataCol="1"/>
  <pivotFields count="16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 measureFilter="1">
      <items count="7">
        <item x="1"/>
        <item x="2"/>
        <item x="3"/>
        <item x="0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" fld="8" baseField="3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9">
  <location ref="A3:B7" firstHeaderRow="1" firstDataRow="1" firstDataCol="1"/>
  <pivotFields count="16">
    <pivotField dataField="1" showAll="0" countASubtotal="1">
      <items count="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countA"/>
      </items>
    </pivotField>
    <pivotField showAll="0">
      <items count="15">
        <item n="l"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3"/>
        <item x="2"/>
        <item x="0"/>
        <item x="1"/>
        <item x="5"/>
        <item x="4"/>
        <item t="default"/>
      </items>
    </pivotField>
    <pivotField showAll="0">
      <items count="123">
        <item x="8"/>
        <item x="83"/>
        <item x="62"/>
        <item x="11"/>
        <item x="47"/>
        <item x="22"/>
        <item x="89"/>
        <item x="93"/>
        <item x="67"/>
        <item x="102"/>
        <item x="24"/>
        <item x="7"/>
        <item x="65"/>
        <item x="0"/>
        <item x="91"/>
        <item x="40"/>
        <item x="43"/>
        <item x="80"/>
        <item x="44"/>
        <item x="82"/>
        <item x="38"/>
        <item x="53"/>
        <item x="13"/>
        <item x="6"/>
        <item x="99"/>
        <item x="87"/>
        <item x="101"/>
        <item x="119"/>
        <item x="120"/>
        <item x="72"/>
        <item x="61"/>
        <item x="78"/>
        <item x="75"/>
        <item x="5"/>
        <item x="100"/>
        <item x="121"/>
        <item x="85"/>
        <item x="31"/>
        <item x="63"/>
        <item x="66"/>
        <item x="111"/>
        <item x="94"/>
        <item x="14"/>
        <item x="73"/>
        <item x="12"/>
        <item x="113"/>
        <item x="29"/>
        <item x="54"/>
        <item x="25"/>
        <item x="21"/>
        <item x="27"/>
        <item x="56"/>
        <item x="109"/>
        <item x="42"/>
        <item x="108"/>
        <item x="115"/>
        <item x="88"/>
        <item x="106"/>
        <item x="58"/>
        <item x="10"/>
        <item x="68"/>
        <item x="76"/>
        <item x="23"/>
        <item x="36"/>
        <item x="3"/>
        <item x="9"/>
        <item x="52"/>
        <item x="48"/>
        <item x="90"/>
        <item x="2"/>
        <item x="20"/>
        <item x="34"/>
        <item x="32"/>
        <item x="18"/>
        <item x="19"/>
        <item x="117"/>
        <item x="92"/>
        <item x="103"/>
        <item x="95"/>
        <item x="114"/>
        <item x="60"/>
        <item x="118"/>
        <item x="86"/>
        <item x="57"/>
        <item x="81"/>
        <item x="46"/>
        <item x="64"/>
        <item x="96"/>
        <item x="70"/>
        <item x="26"/>
        <item x="4"/>
        <item x="37"/>
        <item x="16"/>
        <item x="71"/>
        <item x="15"/>
        <item x="84"/>
        <item x="105"/>
        <item x="98"/>
        <item x="59"/>
        <item x="30"/>
        <item x="116"/>
        <item x="50"/>
        <item x="28"/>
        <item x="35"/>
        <item x="104"/>
        <item x="17"/>
        <item x="79"/>
        <item x="77"/>
        <item x="41"/>
        <item x="39"/>
        <item x="112"/>
        <item x="107"/>
        <item x="51"/>
        <item x="69"/>
        <item x="49"/>
        <item x="97"/>
        <item x="74"/>
        <item x="110"/>
        <item x="33"/>
        <item x="55"/>
        <item x="45"/>
        <item x="1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chartFormats count="5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16" firstHeaderRow="1" firstDataRow="1" firstDataCol="1"/>
  <pivotFields count="16">
    <pivotField showAll="0"/>
    <pivotField axis="axisRow" showAll="0">
      <items count="15">
        <item n="l"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23">
        <item x="8"/>
        <item x="83"/>
        <item x="62"/>
        <item x="11"/>
        <item x="47"/>
        <item x="22"/>
        <item x="89"/>
        <item x="93"/>
        <item x="67"/>
        <item x="102"/>
        <item x="24"/>
        <item x="7"/>
        <item x="65"/>
        <item x="0"/>
        <item x="91"/>
        <item x="40"/>
        <item x="43"/>
        <item x="80"/>
        <item x="44"/>
        <item x="82"/>
        <item x="38"/>
        <item x="53"/>
        <item x="13"/>
        <item x="6"/>
        <item x="99"/>
        <item x="87"/>
        <item x="101"/>
        <item x="119"/>
        <item x="120"/>
        <item x="72"/>
        <item x="61"/>
        <item x="78"/>
        <item x="75"/>
        <item x="5"/>
        <item x="100"/>
        <item x="121"/>
        <item x="85"/>
        <item x="31"/>
        <item x="63"/>
        <item x="66"/>
        <item x="111"/>
        <item x="94"/>
        <item x="14"/>
        <item x="73"/>
        <item x="12"/>
        <item x="113"/>
        <item x="29"/>
        <item x="54"/>
        <item x="25"/>
        <item x="21"/>
        <item x="27"/>
        <item x="56"/>
        <item x="109"/>
        <item x="42"/>
        <item x="108"/>
        <item x="115"/>
        <item x="88"/>
        <item x="106"/>
        <item x="58"/>
        <item x="10"/>
        <item x="68"/>
        <item x="76"/>
        <item x="23"/>
        <item x="36"/>
        <item x="3"/>
        <item x="9"/>
        <item x="52"/>
        <item x="48"/>
        <item x="90"/>
        <item x="2"/>
        <item x="20"/>
        <item x="34"/>
        <item x="32"/>
        <item x="18"/>
        <item x="19"/>
        <item x="117"/>
        <item x="92"/>
        <item x="103"/>
        <item x="95"/>
        <item x="114"/>
        <item x="60"/>
        <item x="118"/>
        <item x="86"/>
        <item x="57"/>
        <item x="81"/>
        <item x="46"/>
        <item x="64"/>
        <item x="96"/>
        <item x="70"/>
        <item x="26"/>
        <item x="4"/>
        <item x="37"/>
        <item x="16"/>
        <item x="71"/>
        <item x="15"/>
        <item x="84"/>
        <item x="105"/>
        <item x="98"/>
        <item x="59"/>
        <item x="30"/>
        <item x="116"/>
        <item x="50"/>
        <item x="28"/>
        <item x="35"/>
        <item x="104"/>
        <item x="17"/>
        <item x="79"/>
        <item x="77"/>
        <item x="41"/>
        <item x="39"/>
        <item x="112"/>
        <item x="107"/>
        <item x="51"/>
        <item x="69"/>
        <item x="49"/>
        <item x="97"/>
        <item x="74"/>
        <item x="110"/>
        <item x="33"/>
        <item x="55"/>
        <item x="4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Revenue" fld="8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2:B8" headerRowCount="0" totalsRowShown="0">
  <tableColumns count="2">
    <tableColumn id="1" name="Column1"/>
    <tableColumn id="2" name="Column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5"/>
  <sheetViews>
    <sheetView workbookViewId="0">
      <selection activeCell="I13" sqref="I13"/>
    </sheetView>
  </sheetViews>
  <sheetFormatPr defaultRowHeight="14.5" x14ac:dyDescent="0.35"/>
  <cols>
    <col min="1" max="1" width="14.36328125" bestFit="1" customWidth="1"/>
    <col min="2" max="2" width="15.26953125" customWidth="1"/>
    <col min="3" max="4" width="9.81640625" bestFit="1" customWidth="1"/>
    <col min="5" max="5" width="6.81640625" customWidth="1"/>
    <col min="6" max="6" width="8.81640625" bestFit="1" customWidth="1"/>
    <col min="7" max="7" width="10.7265625" customWidth="1"/>
    <col min="8" max="8" width="10.7265625" bestFit="1" customWidth="1"/>
  </cols>
  <sheetData>
    <row r="3" spans="1:7" x14ac:dyDescent="0.35">
      <c r="B3" s="11" t="s">
        <v>773</v>
      </c>
    </row>
    <row r="4" spans="1:7" x14ac:dyDescent="0.35">
      <c r="B4" t="s">
        <v>610</v>
      </c>
      <c r="C4" t="s">
        <v>611</v>
      </c>
      <c r="D4" t="s">
        <v>612</v>
      </c>
      <c r="E4" t="s">
        <v>609</v>
      </c>
      <c r="F4" t="s">
        <v>613</v>
      </c>
      <c r="G4" t="s">
        <v>771</v>
      </c>
    </row>
    <row r="5" spans="1:7" x14ac:dyDescent="0.35">
      <c r="A5" t="s">
        <v>772</v>
      </c>
      <c r="B5" s="12">
        <v>127646.15000000002</v>
      </c>
      <c r="C5" s="12">
        <v>163629.25000000009</v>
      </c>
      <c r="D5" s="12">
        <v>136503.85000000003</v>
      </c>
      <c r="E5" s="12">
        <v>126171.99999999996</v>
      </c>
      <c r="F5" s="12">
        <v>147431.29999999999</v>
      </c>
      <c r="G5" s="12">
        <v>701382.55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K12" sqref="K12"/>
    </sheetView>
  </sheetViews>
  <sheetFormatPr defaultRowHeight="14.5" x14ac:dyDescent="0.35"/>
  <cols>
    <col min="1" max="1" width="12.36328125" customWidth="1"/>
    <col min="2" max="2" width="16.36328125" customWidth="1"/>
    <col min="3" max="4" width="7.81640625" customWidth="1"/>
    <col min="5" max="6" width="8.81640625" bestFit="1" customWidth="1"/>
    <col min="7" max="7" width="7.81640625" customWidth="1"/>
    <col min="8" max="10" width="8.81640625" bestFit="1" customWidth="1"/>
    <col min="11" max="11" width="7.81640625" customWidth="1"/>
    <col min="12" max="13" width="8.81640625" bestFit="1" customWidth="1"/>
    <col min="14" max="14" width="10.7265625" bestFit="1" customWidth="1"/>
  </cols>
  <sheetData>
    <row r="3" spans="1:2" x14ac:dyDescent="0.35">
      <c r="A3" s="11" t="s">
        <v>774</v>
      </c>
      <c r="B3" t="s">
        <v>791</v>
      </c>
    </row>
    <row r="4" spans="1:2" x14ac:dyDescent="0.35">
      <c r="A4" s="14" t="s">
        <v>776</v>
      </c>
      <c r="B4" s="12">
        <v>170</v>
      </c>
    </row>
    <row r="5" spans="1:2" x14ac:dyDescent="0.35">
      <c r="A5" s="14" t="s">
        <v>777</v>
      </c>
      <c r="B5" s="12">
        <v>330</v>
      </c>
    </row>
    <row r="6" spans="1:2" x14ac:dyDescent="0.35">
      <c r="A6" s="14" t="s">
        <v>775</v>
      </c>
      <c r="B6" s="12"/>
    </row>
    <row r="7" spans="1:2" x14ac:dyDescent="0.35">
      <c r="A7" s="14" t="s">
        <v>771</v>
      </c>
      <c r="B7" s="12">
        <v>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A4" sqref="A4"/>
    </sheetView>
  </sheetViews>
  <sheetFormatPr defaultRowHeight="14.5" x14ac:dyDescent="0.35"/>
  <cols>
    <col min="1" max="1" width="12.36328125" bestFit="1" customWidth="1"/>
    <col min="2" max="2" width="15.81640625" bestFit="1" customWidth="1"/>
  </cols>
  <sheetData>
    <row r="3" spans="1:2" x14ac:dyDescent="0.35">
      <c r="A3" s="11" t="s">
        <v>774</v>
      </c>
      <c r="B3" t="s">
        <v>778</v>
      </c>
    </row>
    <row r="4" spans="1:2" x14ac:dyDescent="0.35">
      <c r="A4" s="14" t="s">
        <v>779</v>
      </c>
      <c r="B4" s="12">
        <v>25</v>
      </c>
    </row>
    <row r="5" spans="1:2" x14ac:dyDescent="0.35">
      <c r="A5" s="14" t="s">
        <v>780</v>
      </c>
      <c r="B5" s="12">
        <v>40</v>
      </c>
    </row>
    <row r="6" spans="1:2" x14ac:dyDescent="0.35">
      <c r="A6" s="14" t="s">
        <v>781</v>
      </c>
      <c r="B6" s="12">
        <v>20</v>
      </c>
    </row>
    <row r="7" spans="1:2" x14ac:dyDescent="0.35">
      <c r="A7" s="14" t="s">
        <v>782</v>
      </c>
      <c r="B7" s="12">
        <v>45</v>
      </c>
    </row>
    <row r="8" spans="1:2" x14ac:dyDescent="0.35">
      <c r="A8" s="14" t="s">
        <v>783</v>
      </c>
      <c r="B8" s="12">
        <v>37</v>
      </c>
    </row>
    <row r="9" spans="1:2" x14ac:dyDescent="0.35">
      <c r="A9" s="14" t="s">
        <v>784</v>
      </c>
      <c r="B9" s="12">
        <v>38</v>
      </c>
    </row>
    <row r="10" spans="1:2" x14ac:dyDescent="0.35">
      <c r="A10" s="14" t="s">
        <v>785</v>
      </c>
      <c r="B10" s="12">
        <v>29</v>
      </c>
    </row>
    <row r="11" spans="1:2" x14ac:dyDescent="0.35">
      <c r="A11" s="14" t="s">
        <v>786</v>
      </c>
      <c r="B11" s="12">
        <v>41</v>
      </c>
    </row>
    <row r="12" spans="1:2" x14ac:dyDescent="0.35">
      <c r="A12" s="14" t="s">
        <v>787</v>
      </c>
      <c r="B12" s="12">
        <v>35</v>
      </c>
    </row>
    <row r="13" spans="1:2" x14ac:dyDescent="0.35">
      <c r="A13" s="14" t="s">
        <v>788</v>
      </c>
      <c r="B13" s="12">
        <v>36</v>
      </c>
    </row>
    <row r="14" spans="1:2" x14ac:dyDescent="0.35">
      <c r="A14" s="14" t="s">
        <v>789</v>
      </c>
      <c r="B14" s="12">
        <v>32</v>
      </c>
    </row>
    <row r="15" spans="1:2" x14ac:dyDescent="0.35">
      <c r="A15" s="14" t="s">
        <v>790</v>
      </c>
      <c r="B15" s="12">
        <v>32</v>
      </c>
    </row>
    <row r="16" spans="1:2" x14ac:dyDescent="0.35">
      <c r="A16" s="14" t="s">
        <v>771</v>
      </c>
      <c r="B16" s="12">
        <v>410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01"/>
  <sheetViews>
    <sheetView tabSelected="1" zoomScale="70" zoomScaleNormal="70" workbookViewId="0">
      <selection activeCell="D20" sqref="D20"/>
    </sheetView>
  </sheetViews>
  <sheetFormatPr defaultRowHeight="14.5" x14ac:dyDescent="0.35"/>
  <cols>
    <col min="1" max="1" width="17.1796875" customWidth="1"/>
    <col min="2" max="2" width="15.90625" customWidth="1"/>
    <col min="3" max="3" width="18.453125" customWidth="1"/>
    <col min="4" max="4" width="19.7265625" customWidth="1"/>
    <col min="9" max="9" width="15.26953125" customWidth="1"/>
    <col min="10" max="10" width="18" customWidth="1"/>
    <col min="11" max="11" width="17.26953125" customWidth="1"/>
    <col min="12" max="12" width="19.36328125" customWidth="1"/>
    <col min="13" max="13" width="18.26953125" bestFit="1" customWidth="1"/>
    <col min="14" max="14" width="12.7265625" bestFit="1" customWidth="1"/>
    <col min="15" max="15" width="21.26953125" bestFit="1" customWidth="1"/>
  </cols>
  <sheetData>
    <row r="1" spans="1:2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741</v>
      </c>
      <c r="K1" s="8" t="s">
        <v>747</v>
      </c>
      <c r="L1" s="8" t="s">
        <v>753</v>
      </c>
      <c r="M1" s="9" t="s">
        <v>758</v>
      </c>
      <c r="N1" s="9" t="s">
        <v>764</v>
      </c>
      <c r="O1" s="9" t="s">
        <v>765</v>
      </c>
      <c r="P1" s="9" t="s">
        <v>770</v>
      </c>
    </row>
    <row r="2" spans="1:27" x14ac:dyDescent="0.35">
      <c r="A2" s="6" t="s">
        <v>9</v>
      </c>
      <c r="B2" s="15">
        <v>45029</v>
      </c>
      <c r="C2" s="6" t="s">
        <v>509</v>
      </c>
      <c r="D2" s="6" t="s">
        <v>609</v>
      </c>
      <c r="E2" s="6" t="s">
        <v>614</v>
      </c>
      <c r="F2" s="6">
        <v>2</v>
      </c>
      <c r="G2" s="6">
        <v>199</v>
      </c>
      <c r="H2" s="6">
        <v>10</v>
      </c>
      <c r="I2" s="6">
        <v>358.2</v>
      </c>
      <c r="J2" s="6" t="str">
        <f>IF(I2&gt;formulas!$B$5,"yes","no")</f>
        <v>no</v>
      </c>
      <c r="K2" s="6" t="str">
        <f>IF(H2&gt;0,"yes","no")</f>
        <v>yes</v>
      </c>
      <c r="L2" s="6" t="str">
        <f>IF(COUNTIF('raw data'!$B$2:$B$501,B2)&gt;1,"Yes","No")</f>
        <v>Yes</v>
      </c>
      <c r="M2" t="str">
        <f>IF(H2&gt;15,"yes","no")</f>
        <v>no</v>
      </c>
      <c r="N2" t="str">
        <f>IF(AND(L2="Yes", J2="yes" ),"Yes","No")</f>
        <v>No</v>
      </c>
      <c r="O2">
        <f>SUMIF('raw data'!B$2:B$501,B2,'raw data'!I$2:I$501)</f>
        <v>3914.8</v>
      </c>
      <c r="P2" t="str">
        <f>IF(OR(I2&lt;Visualization!$B$6,I2&gt;Visualization!$B$7),"Outlier","Normal")</f>
        <v>Outlier</v>
      </c>
    </row>
    <row r="3" spans="1:27" x14ac:dyDescent="0.35">
      <c r="A3" s="6" t="s">
        <v>10</v>
      </c>
      <c r="B3" s="15">
        <v>45275</v>
      </c>
      <c r="C3" s="6" t="s">
        <v>510</v>
      </c>
      <c r="D3" s="6" t="s">
        <v>610</v>
      </c>
      <c r="E3" s="6" t="s">
        <v>615</v>
      </c>
      <c r="F3" s="6">
        <v>2</v>
      </c>
      <c r="G3" s="6">
        <v>199</v>
      </c>
      <c r="H3" s="6">
        <v>15</v>
      </c>
      <c r="I3" s="6">
        <v>358.2</v>
      </c>
      <c r="J3" s="6" t="str">
        <f>IF(I3&gt;formulas!$B$5,"yes","no")</f>
        <v>no</v>
      </c>
      <c r="K3" s="6" t="str">
        <f t="shared" ref="K3:K66" si="0">IF(H3&gt;0,"yes","no")</f>
        <v>yes</v>
      </c>
      <c r="L3" s="6" t="str">
        <f>IF(COUNTIF('raw data'!$B$2:$B$501,B3)&gt;1,"Yes","No")</f>
        <v>Yes</v>
      </c>
      <c r="M3" t="str">
        <f t="shared" ref="M3:M66" si="1">IF(H3&gt;15,"yes","no")</f>
        <v>no</v>
      </c>
      <c r="N3" t="str">
        <f t="shared" ref="N3:N66" si="2">IF(AND(L3="Yes", J3="yes" ),"Yes","No")</f>
        <v>No</v>
      </c>
      <c r="O3">
        <f>SUMIF('raw data'!B$2:B$501,B3,'raw data'!I$2:I$501)</f>
        <v>7282.8</v>
      </c>
      <c r="P3" t="str">
        <f>IF(OR(I3&lt;Visualization!$B$6,I3&gt;Visualization!$B$7),"Outlier","Normal")</f>
        <v>Outlier</v>
      </c>
    </row>
    <row r="4" spans="1:27" x14ac:dyDescent="0.35">
      <c r="A4" s="6" t="s">
        <v>11</v>
      </c>
      <c r="B4" s="15">
        <v>45197</v>
      </c>
      <c r="C4" s="6" t="s">
        <v>511</v>
      </c>
      <c r="D4" s="6" t="s">
        <v>611</v>
      </c>
      <c r="E4" s="6" t="s">
        <v>616</v>
      </c>
      <c r="F4" s="6">
        <v>2</v>
      </c>
      <c r="G4" s="6">
        <v>299</v>
      </c>
      <c r="H4" s="6">
        <v>5</v>
      </c>
      <c r="I4" s="6">
        <v>358.2</v>
      </c>
      <c r="J4" s="6" t="str">
        <f>IF(I4&gt;formulas!$B$5,"yes","no")</f>
        <v>no</v>
      </c>
      <c r="K4" s="6" t="str">
        <f t="shared" si="0"/>
        <v>yes</v>
      </c>
      <c r="L4" s="6" t="str">
        <f>IF(COUNTIF('raw data'!$B$2:$B$501,B4)&gt;1,"Yes","No")</f>
        <v>Yes</v>
      </c>
      <c r="M4" t="str">
        <f t="shared" si="1"/>
        <v>no</v>
      </c>
      <c r="N4" t="str">
        <f t="shared" si="2"/>
        <v>No</v>
      </c>
      <c r="O4">
        <f>SUMIF('raw data'!B$2:B$501,B4,'raw data'!I$2:I$501)</f>
        <v>3556.6</v>
      </c>
      <c r="P4" t="str">
        <f>IF(OR(I4&lt;Visualization!$B$6,I4&gt;Visualization!$B$7),"Outlier","Normal")</f>
        <v>Outlier</v>
      </c>
    </row>
    <row r="5" spans="1:27" x14ac:dyDescent="0.35">
      <c r="A5" s="6" t="s">
        <v>12</v>
      </c>
      <c r="B5" s="15">
        <v>45033</v>
      </c>
      <c r="C5" s="6" t="s">
        <v>512</v>
      </c>
      <c r="D5" s="6" t="s">
        <v>609</v>
      </c>
      <c r="E5" s="6" t="s">
        <v>617</v>
      </c>
      <c r="F5" s="6">
        <v>3</v>
      </c>
      <c r="G5" s="6"/>
      <c r="H5" s="6">
        <v>0</v>
      </c>
      <c r="I5" s="6">
        <v>358.2</v>
      </c>
      <c r="J5" s="6" t="str">
        <f>IF(I5&gt;formulas!$B$5,"yes","no")</f>
        <v>no</v>
      </c>
      <c r="K5" s="6" t="str">
        <f t="shared" si="0"/>
        <v>no</v>
      </c>
      <c r="L5" s="6" t="str">
        <f>IF(COUNTIF('raw data'!$B$2:$B$501,B5)&gt;1,"Yes","No")</f>
        <v>No</v>
      </c>
      <c r="M5" t="str">
        <f t="shared" si="1"/>
        <v>no</v>
      </c>
      <c r="N5" t="str">
        <f t="shared" si="2"/>
        <v>No</v>
      </c>
      <c r="O5">
        <f>SUMIF('raw data'!B$2:B$501,B5,'raw data'!I$2:I$501)</f>
        <v>358.2</v>
      </c>
      <c r="P5" t="str">
        <f>IF(OR(I5&lt;Visualization!$B$6,I5&gt;Visualization!$B$7),"Outlier","Normal")</f>
        <v>Outlier</v>
      </c>
      <c r="AA5" t="s">
        <v>769</v>
      </c>
    </row>
    <row r="6" spans="1:27" x14ac:dyDescent="0.35">
      <c r="A6" s="6" t="s">
        <v>13</v>
      </c>
      <c r="B6" s="15">
        <v>44998</v>
      </c>
      <c r="C6" s="6" t="s">
        <v>513</v>
      </c>
      <c r="D6" s="6" t="s">
        <v>611</v>
      </c>
      <c r="E6" s="6" t="s">
        <v>618</v>
      </c>
      <c r="F6" s="6">
        <v>1</v>
      </c>
      <c r="G6" s="6">
        <v>199</v>
      </c>
      <c r="H6" s="6"/>
      <c r="I6" s="6">
        <v>358.2</v>
      </c>
      <c r="J6" s="6" t="str">
        <f>IF(I6&gt;formulas!$B$5,"yes","no")</f>
        <v>no</v>
      </c>
      <c r="K6" s="6" t="str">
        <f t="shared" si="0"/>
        <v>no</v>
      </c>
      <c r="L6" s="6" t="str">
        <f>IF(COUNTIF('raw data'!$B$2:$B$501,B6)&gt;1,"Yes","No")</f>
        <v>No</v>
      </c>
      <c r="M6" t="str">
        <f t="shared" si="1"/>
        <v>no</v>
      </c>
      <c r="N6" t="str">
        <f t="shared" si="2"/>
        <v>No</v>
      </c>
      <c r="O6">
        <f>SUMIF('raw data'!B$2:B$501,B6,'raw data'!I$2:I$501)</f>
        <v>358.2</v>
      </c>
      <c r="P6" t="str">
        <f>IF(OR(I6&lt;Visualization!$B$6,I6&gt;Visualization!$B$7),"Outlier","Normal")</f>
        <v>Outlier</v>
      </c>
      <c r="U6">
        <f>COUNTIF(P2:P501,"outlier")</f>
        <v>393</v>
      </c>
    </row>
    <row r="7" spans="1:27" x14ac:dyDescent="0.35">
      <c r="A7" s="6" t="s">
        <v>14</v>
      </c>
      <c r="B7" s="15">
        <v>45115</v>
      </c>
      <c r="C7" s="6" t="s">
        <v>514</v>
      </c>
      <c r="D7" s="6" t="s">
        <v>612</v>
      </c>
      <c r="E7" s="6" t="s">
        <v>619</v>
      </c>
      <c r="F7" s="6">
        <v>2</v>
      </c>
      <c r="G7" s="6">
        <v>999</v>
      </c>
      <c r="H7" s="6">
        <v>20</v>
      </c>
      <c r="I7" s="6">
        <v>358.2</v>
      </c>
      <c r="J7" s="6" t="str">
        <f>IF(I7&gt;formulas!$B$5,"yes","no")</f>
        <v>no</v>
      </c>
      <c r="K7" s="6" t="str">
        <f t="shared" si="0"/>
        <v>yes</v>
      </c>
      <c r="L7" s="6" t="str">
        <f>IF(COUNTIF('raw data'!$B$2:$B$501,B7)&gt;1,"Yes","No")</f>
        <v>Yes</v>
      </c>
      <c r="M7" t="str">
        <f t="shared" si="1"/>
        <v>yes</v>
      </c>
      <c r="N7" t="str">
        <f t="shared" si="2"/>
        <v>No</v>
      </c>
      <c r="O7">
        <f>SUMIF('raw data'!B$2:B$501,B7,'raw data'!I$2:I$501)</f>
        <v>756.2</v>
      </c>
      <c r="P7" t="str">
        <f>IF(OR(I7&lt;Visualization!$B$6,I7&gt;Visualization!$B$7),"Outlier","Normal")</f>
        <v>Outlier</v>
      </c>
    </row>
    <row r="8" spans="1:27" x14ac:dyDescent="0.35">
      <c r="A8" s="6" t="s">
        <v>15</v>
      </c>
      <c r="B8" s="15">
        <v>44947</v>
      </c>
      <c r="C8" s="6" t="s">
        <v>515</v>
      </c>
      <c r="D8" s="6" t="s">
        <v>609</v>
      </c>
      <c r="E8" s="6" t="s">
        <v>620</v>
      </c>
      <c r="F8" s="6">
        <v>3</v>
      </c>
      <c r="G8" s="6">
        <v>1499</v>
      </c>
      <c r="H8" s="6">
        <v>10</v>
      </c>
      <c r="I8" s="6">
        <v>358.2</v>
      </c>
      <c r="J8" s="6" t="str">
        <f>IF(I8&gt;formulas!$B$5,"yes","no")</f>
        <v>no</v>
      </c>
      <c r="K8" s="6" t="str">
        <f t="shared" si="0"/>
        <v>yes</v>
      </c>
      <c r="L8" s="6" t="str">
        <f>IF(COUNTIF('raw data'!$B$2:$B$501,B8)&gt;1,"Yes","No")</f>
        <v>Yes</v>
      </c>
      <c r="M8" t="str">
        <f t="shared" si="1"/>
        <v>no</v>
      </c>
      <c r="N8" t="str">
        <f t="shared" si="2"/>
        <v>No</v>
      </c>
      <c r="O8">
        <f>SUMIF('raw data'!B$2:B$501,B8,'raw data'!I$2:I$501)</f>
        <v>1782.25</v>
      </c>
      <c r="P8" t="str">
        <f>IF(OR(I8&lt;Visualization!$B$6,I8&gt;Visualization!$B$7),"Outlier","Normal")</f>
        <v>Outlier</v>
      </c>
    </row>
    <row r="9" spans="1:27" x14ac:dyDescent="0.35">
      <c r="A9" s="6" t="s">
        <v>16</v>
      </c>
      <c r="B9" s="15">
        <v>45029</v>
      </c>
      <c r="C9" s="6" t="s">
        <v>516</v>
      </c>
      <c r="D9" s="6" t="s">
        <v>612</v>
      </c>
      <c r="E9" s="6" t="s">
        <v>621</v>
      </c>
      <c r="F9" s="6">
        <v>5</v>
      </c>
      <c r="G9" s="6">
        <v>1999</v>
      </c>
      <c r="H9" s="6">
        <v>0</v>
      </c>
      <c r="I9" s="6">
        <v>358.2</v>
      </c>
      <c r="J9" s="6" t="str">
        <f>IF(I9&gt;formulas!$B$5,"yes","no")</f>
        <v>no</v>
      </c>
      <c r="K9" s="6" t="str">
        <f t="shared" si="0"/>
        <v>no</v>
      </c>
      <c r="L9" s="6" t="str">
        <f>IF(COUNTIF('raw data'!$B$2:$B$501,B9)&gt;1,"Yes","No")</f>
        <v>Yes</v>
      </c>
      <c r="M9" t="str">
        <f t="shared" si="1"/>
        <v>no</v>
      </c>
      <c r="N9" t="str">
        <f t="shared" si="2"/>
        <v>No</v>
      </c>
      <c r="O9">
        <f>SUMIF('raw data'!B$2:B$501,B9,'raw data'!I$2:I$501)</f>
        <v>3914.8</v>
      </c>
      <c r="P9" t="str">
        <f>IF(OR(I9&lt;Visualization!$B$6,I9&gt;Visualization!$B$7),"Outlier","Normal")</f>
        <v>Outlier</v>
      </c>
    </row>
    <row r="10" spans="1:27" x14ac:dyDescent="0.35">
      <c r="A10" s="6" t="s">
        <v>17</v>
      </c>
      <c r="B10" s="15">
        <v>45048</v>
      </c>
      <c r="C10" s="6" t="s">
        <v>517</v>
      </c>
      <c r="D10" s="6" t="s">
        <v>609</v>
      </c>
      <c r="E10" s="6" t="s">
        <v>622</v>
      </c>
      <c r="F10" s="6">
        <v>1</v>
      </c>
      <c r="G10" s="6">
        <v>299</v>
      </c>
      <c r="H10" s="6">
        <v>20</v>
      </c>
      <c r="I10" s="6">
        <v>358.2</v>
      </c>
      <c r="J10" s="6" t="str">
        <f>IF(I10&gt;formulas!$B$5,"yes","no")</f>
        <v>no</v>
      </c>
      <c r="K10" s="6" t="str">
        <f t="shared" si="0"/>
        <v>yes</v>
      </c>
      <c r="L10" s="6" t="str">
        <f>IF(COUNTIF('raw data'!$B$2:$B$501,B10)&gt;1,"Yes","No")</f>
        <v>Yes</v>
      </c>
      <c r="M10" t="str">
        <f t="shared" si="1"/>
        <v>yes</v>
      </c>
      <c r="N10" t="str">
        <f t="shared" si="2"/>
        <v>No</v>
      </c>
      <c r="O10">
        <f>SUMIF('raw data'!B$2:B$501,B10,'raw data'!I$2:I$501)</f>
        <v>358.2</v>
      </c>
      <c r="P10" t="str">
        <f>IF(OR(I10&lt;Visualization!$B$6,I10&gt;Visualization!$B$7),"Outlier","Normal")</f>
        <v>Outlier</v>
      </c>
    </row>
    <row r="11" spans="1:27" x14ac:dyDescent="0.35">
      <c r="A11" s="6" t="s">
        <v>18</v>
      </c>
      <c r="B11" s="15">
        <v>45141</v>
      </c>
      <c r="C11" s="6" t="s">
        <v>518</v>
      </c>
      <c r="D11" s="6" t="s">
        <v>613</v>
      </c>
      <c r="E11" s="6" t="s">
        <v>623</v>
      </c>
      <c r="F11" s="6">
        <v>2</v>
      </c>
      <c r="G11" s="6">
        <v>299</v>
      </c>
      <c r="H11" s="6">
        <v>20</v>
      </c>
      <c r="I11" s="6">
        <v>358.2</v>
      </c>
      <c r="J11" s="6" t="str">
        <f>IF(I11&gt;formulas!$B$5,"yes","no")</f>
        <v>no</v>
      </c>
      <c r="K11" s="6" t="str">
        <f t="shared" si="0"/>
        <v>yes</v>
      </c>
      <c r="L11" s="6" t="str">
        <f>IF(COUNTIF('raw data'!$B$2:$B$501,B11)&gt;1,"Yes","No")</f>
        <v>Yes</v>
      </c>
      <c r="M11" t="str">
        <f t="shared" si="1"/>
        <v>yes</v>
      </c>
      <c r="N11" t="str">
        <f t="shared" si="2"/>
        <v>No</v>
      </c>
      <c r="O11">
        <f>SUMIF('raw data'!B$2:B$501,B11,'raw data'!I$2:I$501)</f>
        <v>4252.3999999999996</v>
      </c>
      <c r="P11" t="str">
        <f>IF(OR(I11&lt;Visualization!$B$6,I11&gt;Visualization!$B$7),"Outlier","Normal")</f>
        <v>Outlier</v>
      </c>
    </row>
    <row r="12" spans="1:27" x14ac:dyDescent="0.35">
      <c r="A12" s="6" t="s">
        <v>19</v>
      </c>
      <c r="B12" s="15">
        <v>45257</v>
      </c>
      <c r="C12" s="6" t="s">
        <v>518</v>
      </c>
      <c r="D12" s="6" t="s">
        <v>610</v>
      </c>
      <c r="E12" s="6" t="s">
        <v>624</v>
      </c>
      <c r="F12" s="6">
        <v>2</v>
      </c>
      <c r="G12" s="6">
        <v>199</v>
      </c>
      <c r="H12" s="6"/>
      <c r="I12" s="6">
        <v>358.2</v>
      </c>
      <c r="J12" s="6" t="str">
        <f>IF(I12&gt;formulas!$B$5,"yes","no")</f>
        <v>no</v>
      </c>
      <c r="K12" s="6" t="str">
        <f t="shared" si="0"/>
        <v>no</v>
      </c>
      <c r="L12" s="6" t="str">
        <f>IF(COUNTIF('raw data'!$B$2:$B$501,B12)&gt;1,"Yes","No")</f>
        <v>Yes</v>
      </c>
      <c r="M12" t="str">
        <f t="shared" si="1"/>
        <v>no</v>
      </c>
      <c r="N12" t="str">
        <f t="shared" si="2"/>
        <v>No</v>
      </c>
      <c r="O12">
        <f>SUMIF('raw data'!B$2:B$501,B12,'raw data'!I$2:I$501)</f>
        <v>1780.3500000000001</v>
      </c>
      <c r="P12" t="str">
        <f>IF(OR(I12&lt;Visualization!$B$6,I12&gt;Visualization!$B$7),"Outlier","Normal")</f>
        <v>Outlier</v>
      </c>
    </row>
    <row r="13" spans="1:27" x14ac:dyDescent="0.35">
      <c r="A13" s="6" t="s">
        <v>20</v>
      </c>
      <c r="B13" s="15">
        <v>45014</v>
      </c>
      <c r="C13" s="6" t="s">
        <v>519</v>
      </c>
      <c r="D13" s="6" t="s">
        <v>613</v>
      </c>
      <c r="E13" s="6" t="s">
        <v>625</v>
      </c>
      <c r="F13" s="6">
        <v>3</v>
      </c>
      <c r="G13" s="6"/>
      <c r="H13" s="6">
        <v>15</v>
      </c>
      <c r="I13" s="6">
        <v>358.2</v>
      </c>
      <c r="J13" s="6" t="str">
        <f>IF(I13&gt;formulas!$B$5,"yes","no")</f>
        <v>no</v>
      </c>
      <c r="K13" s="6" t="str">
        <f t="shared" si="0"/>
        <v>yes</v>
      </c>
      <c r="L13" s="6" t="str">
        <f>IF(COUNTIF('raw data'!$B$2:$B$501,B13)&gt;1,"Yes","No")</f>
        <v>No</v>
      </c>
      <c r="M13" t="str">
        <f t="shared" si="1"/>
        <v>no</v>
      </c>
      <c r="N13" t="str">
        <f t="shared" si="2"/>
        <v>No</v>
      </c>
      <c r="O13">
        <f>SUMIF('raw data'!B$2:B$501,B13,'raw data'!I$2:I$501)</f>
        <v>358.2</v>
      </c>
      <c r="P13" t="str">
        <f>IF(OR(I13&lt;Visualization!$B$6,I13&gt;Visualization!$B$7),"Outlier","Normal")</f>
        <v>Outlier</v>
      </c>
    </row>
    <row r="14" spans="1:27" x14ac:dyDescent="0.35">
      <c r="A14" s="6" t="s">
        <v>21</v>
      </c>
      <c r="B14" s="15">
        <v>45026</v>
      </c>
      <c r="C14" s="6" t="s">
        <v>520</v>
      </c>
      <c r="D14" s="6" t="s">
        <v>612</v>
      </c>
      <c r="E14" s="6" t="s">
        <v>626</v>
      </c>
      <c r="F14" s="6">
        <v>2</v>
      </c>
      <c r="G14" s="6">
        <v>999</v>
      </c>
      <c r="H14" s="6"/>
      <c r="I14" s="6">
        <v>358.2</v>
      </c>
      <c r="J14" s="6" t="str">
        <f>IF(I14&gt;formulas!$B$5,"yes","no")</f>
        <v>no</v>
      </c>
      <c r="K14" s="6" t="str">
        <f t="shared" si="0"/>
        <v>no</v>
      </c>
      <c r="L14" s="6" t="str">
        <f>IF(COUNTIF('raw data'!$B$2:$B$501,B14)&gt;1,"Yes","No")</f>
        <v>Yes</v>
      </c>
      <c r="M14" t="str">
        <f t="shared" si="1"/>
        <v>no</v>
      </c>
      <c r="N14" t="str">
        <f t="shared" si="2"/>
        <v>No</v>
      </c>
      <c r="O14">
        <f>SUMIF('raw data'!B$2:B$501,B14,'raw data'!I$2:I$501)</f>
        <v>2024.3500000000001</v>
      </c>
      <c r="P14" t="str">
        <f>IF(OR(I14&lt;Visualization!$B$6,I14&gt;Visualization!$B$7),"Outlier","Normal")</f>
        <v>Outlier</v>
      </c>
    </row>
    <row r="15" spans="1:27" x14ac:dyDescent="0.35">
      <c r="A15" s="6" t="s">
        <v>22</v>
      </c>
      <c r="B15" s="15">
        <v>45286</v>
      </c>
      <c r="C15" s="6" t="s">
        <v>521</v>
      </c>
      <c r="D15" s="6" t="s">
        <v>610</v>
      </c>
      <c r="E15" s="6" t="s">
        <v>627</v>
      </c>
      <c r="F15" s="6">
        <v>2</v>
      </c>
      <c r="G15" s="6"/>
      <c r="H15" s="6">
        <v>15</v>
      </c>
      <c r="I15" s="6"/>
      <c r="J15" s="6" t="str">
        <f>IF(I15&gt;formulas!$B$5,"yes","no")</f>
        <v>no</v>
      </c>
      <c r="K15" s="6" t="str">
        <f t="shared" si="0"/>
        <v>yes</v>
      </c>
      <c r="L15" s="6" t="str">
        <f>IF(COUNTIF('raw data'!$B$2:$B$501,B15)&gt;1,"Yes","No")</f>
        <v>Yes</v>
      </c>
      <c r="M15" t="str">
        <f t="shared" si="1"/>
        <v>no</v>
      </c>
      <c r="N15" t="str">
        <f t="shared" si="2"/>
        <v>No</v>
      </c>
      <c r="O15">
        <f>SUMIF('raw data'!B$2:B$501,B15,'raw data'!I$2:I$501)</f>
        <v>11794.1</v>
      </c>
      <c r="P15" t="str">
        <f>IF(OR(I15&lt;Visualization!$B$6,I15&gt;Visualization!$B$7),"Outlier","Normal")</f>
        <v>Normal</v>
      </c>
      <c r="T15">
        <v>0</v>
      </c>
      <c r="U15">
        <f t="array" ref="U15">FREQUENCY(I2:I501,T15:T22)</f>
        <v>17</v>
      </c>
    </row>
    <row r="16" spans="1:27" x14ac:dyDescent="0.35">
      <c r="A16" s="6" t="s">
        <v>23</v>
      </c>
      <c r="B16" s="15">
        <v>45078</v>
      </c>
      <c r="C16" s="6" t="s">
        <v>515</v>
      </c>
      <c r="D16" s="6" t="s">
        <v>609</v>
      </c>
      <c r="E16" s="6" t="s">
        <v>628</v>
      </c>
      <c r="F16" s="6">
        <v>4</v>
      </c>
      <c r="G16" s="6">
        <v>499</v>
      </c>
      <c r="H16" s="6">
        <v>15</v>
      </c>
      <c r="I16" s="6">
        <v>1696.6</v>
      </c>
      <c r="J16" s="6" t="str">
        <f>IF(I16&gt;formulas!$B$5,"yes","no")</f>
        <v>yes</v>
      </c>
      <c r="K16" s="6" t="str">
        <f t="shared" si="0"/>
        <v>yes</v>
      </c>
      <c r="L16" s="6" t="str">
        <f>IF(COUNTIF('raw data'!$B$2:$B$501,B16)&gt;1,"Yes","No")</f>
        <v>Yes</v>
      </c>
      <c r="M16" t="str">
        <f t="shared" si="1"/>
        <v>no</v>
      </c>
      <c r="N16" t="str">
        <f t="shared" si="2"/>
        <v>Yes</v>
      </c>
      <c r="O16">
        <f>SUMIF('raw data'!B$2:B$501,B16,'raw data'!I$2:I$501)</f>
        <v>5519.05</v>
      </c>
      <c r="P16" t="str">
        <f>IF(OR(I16&lt;Visualization!$B$6,I16&gt;Visualization!$B$7),"Outlier","Normal")</f>
        <v>Outlier</v>
      </c>
      <c r="T16">
        <v>500</v>
      </c>
    </row>
    <row r="17" spans="1:20" x14ac:dyDescent="0.35">
      <c r="A17" s="6" t="s">
        <v>24</v>
      </c>
      <c r="B17" s="15">
        <v>45057</v>
      </c>
      <c r="C17" s="6" t="s">
        <v>522</v>
      </c>
      <c r="D17" s="6" t="s">
        <v>610</v>
      </c>
      <c r="E17" s="6" t="s">
        <v>629</v>
      </c>
      <c r="F17" s="6">
        <v>3</v>
      </c>
      <c r="G17" s="6">
        <v>499</v>
      </c>
      <c r="H17" s="6">
        <v>0</v>
      </c>
      <c r="I17" s="6">
        <v>1497</v>
      </c>
      <c r="J17" s="6" t="str">
        <f>IF(I17&gt;formulas!$B$5,"yes","no")</f>
        <v>yes</v>
      </c>
      <c r="K17" s="6" t="str">
        <f t="shared" si="0"/>
        <v>no</v>
      </c>
      <c r="L17" s="6" t="str">
        <f>IF(COUNTIF('raw data'!$B$2:$B$501,B17)&gt;1,"Yes","No")</f>
        <v>Yes</v>
      </c>
      <c r="M17" t="str">
        <f t="shared" si="1"/>
        <v>no</v>
      </c>
      <c r="N17" t="str">
        <f t="shared" si="2"/>
        <v>Yes</v>
      </c>
      <c r="O17">
        <f>SUMIF('raw data'!B$2:B$501,B17,'raw data'!I$2:I$501)</f>
        <v>2495</v>
      </c>
      <c r="P17" t="str">
        <f>IF(OR(I17&lt;Visualization!$B$6,I17&gt;Visualization!$B$7),"Outlier","Normal")</f>
        <v>Outlier</v>
      </c>
      <c r="T17">
        <v>1000</v>
      </c>
    </row>
    <row r="18" spans="1:20" x14ac:dyDescent="0.35">
      <c r="A18" s="6" t="s">
        <v>25</v>
      </c>
      <c r="B18" s="15">
        <v>45076</v>
      </c>
      <c r="C18" s="6" t="s">
        <v>523</v>
      </c>
      <c r="D18" s="6" t="s">
        <v>611</v>
      </c>
      <c r="E18" s="6" t="s">
        <v>630</v>
      </c>
      <c r="F18" s="6">
        <v>2</v>
      </c>
      <c r="G18" s="6">
        <v>1499</v>
      </c>
      <c r="H18" s="6">
        <v>0</v>
      </c>
      <c r="I18" s="6">
        <v>2998</v>
      </c>
      <c r="J18" s="6" t="str">
        <f>IF(I18&gt;formulas!$B$5,"yes","no")</f>
        <v>yes</v>
      </c>
      <c r="K18" s="6" t="str">
        <f t="shared" si="0"/>
        <v>no</v>
      </c>
      <c r="L18" s="6" t="str">
        <f>IF(COUNTIF('raw data'!$B$2:$B$501,B18)&gt;1,"Yes","No")</f>
        <v>Yes</v>
      </c>
      <c r="M18" t="str">
        <f t="shared" si="1"/>
        <v>no</v>
      </c>
      <c r="N18" t="str">
        <f t="shared" si="2"/>
        <v>Yes</v>
      </c>
      <c r="O18">
        <f>SUMIF('raw data'!B$2:B$501,B18,'raw data'!I$2:I$501)</f>
        <v>2998</v>
      </c>
      <c r="P18" t="str">
        <f>IF(OR(I18&lt;Visualization!$B$6,I18&gt;Visualization!$B$7),"Outlier","Normal")</f>
        <v>Outlier</v>
      </c>
      <c r="T18">
        <v>2000</v>
      </c>
    </row>
    <row r="19" spans="1:20" x14ac:dyDescent="0.35">
      <c r="A19" s="6" t="s">
        <v>26</v>
      </c>
      <c r="B19" s="15">
        <v>45235</v>
      </c>
      <c r="C19" s="6" t="s">
        <v>518</v>
      </c>
      <c r="D19" s="6" t="s">
        <v>610</v>
      </c>
      <c r="E19" s="6" t="s">
        <v>631</v>
      </c>
      <c r="F19" s="6">
        <v>4</v>
      </c>
      <c r="G19" s="6">
        <v>199</v>
      </c>
      <c r="H19" s="6">
        <v>10</v>
      </c>
      <c r="I19" s="6">
        <v>716.4</v>
      </c>
      <c r="J19" s="6" t="str">
        <f>IF(I19&gt;formulas!$B$5,"yes","no")</f>
        <v>no</v>
      </c>
      <c r="K19" s="6" t="str">
        <f t="shared" si="0"/>
        <v>yes</v>
      </c>
      <c r="L19" s="6" t="str">
        <f>IF(COUNTIF('raw data'!$B$2:$B$501,B19)&gt;1,"Yes","No")</f>
        <v>No</v>
      </c>
      <c r="M19" t="str">
        <f t="shared" si="1"/>
        <v>no</v>
      </c>
      <c r="N19" t="str">
        <f t="shared" si="2"/>
        <v>No</v>
      </c>
      <c r="O19">
        <f>SUMIF('raw data'!B$2:B$501,B19,'raw data'!I$2:I$501)</f>
        <v>716.4</v>
      </c>
      <c r="P19" t="str">
        <f>IF(OR(I19&lt;Visualization!$B$6,I19&gt;Visualization!$B$7),"Outlier","Normal")</f>
        <v>Outlier</v>
      </c>
      <c r="T19">
        <v>3000</v>
      </c>
    </row>
    <row r="20" spans="1:20" x14ac:dyDescent="0.35">
      <c r="A20" s="6" t="s">
        <v>27</v>
      </c>
      <c r="B20" s="15">
        <v>45184</v>
      </c>
      <c r="C20" s="6" t="s">
        <v>524</v>
      </c>
      <c r="D20" s="6" t="s">
        <v>611</v>
      </c>
      <c r="E20" s="6" t="s">
        <v>614</v>
      </c>
      <c r="F20" s="6">
        <v>3</v>
      </c>
      <c r="G20" s="6">
        <v>199</v>
      </c>
      <c r="H20" s="6">
        <v>15</v>
      </c>
      <c r="I20" s="6">
        <v>507.45</v>
      </c>
      <c r="J20" s="6" t="str">
        <f>IF(I20&gt;formulas!$B$5,"yes","no")</f>
        <v>no</v>
      </c>
      <c r="K20" s="6" t="str">
        <f t="shared" si="0"/>
        <v>yes</v>
      </c>
      <c r="L20" s="6" t="str">
        <f>IF(COUNTIF('raw data'!$B$2:$B$501,B20)&gt;1,"Yes","No")</f>
        <v>No</v>
      </c>
      <c r="M20" t="str">
        <f t="shared" si="1"/>
        <v>no</v>
      </c>
      <c r="N20" t="str">
        <f t="shared" si="2"/>
        <v>No</v>
      </c>
      <c r="O20">
        <f>SUMIF('raw data'!B$2:B$501,B20,'raw data'!I$2:I$501)</f>
        <v>507.45</v>
      </c>
      <c r="P20" t="str">
        <f>IF(OR(I20&lt;Visualization!$B$6,I20&gt;Visualization!$B$7),"Outlier","Normal")</f>
        <v>Outlier</v>
      </c>
      <c r="T20">
        <v>5000</v>
      </c>
    </row>
    <row r="21" spans="1:20" x14ac:dyDescent="0.35">
      <c r="A21" s="6" t="s">
        <v>28</v>
      </c>
      <c r="B21" s="15">
        <v>45270</v>
      </c>
      <c r="C21" s="6" t="s">
        <v>525</v>
      </c>
      <c r="D21" s="6" t="s">
        <v>610</v>
      </c>
      <c r="E21" s="6" t="s">
        <v>632</v>
      </c>
      <c r="F21" s="6">
        <v>2</v>
      </c>
      <c r="G21" s="6">
        <v>199</v>
      </c>
      <c r="H21" s="6">
        <v>20</v>
      </c>
      <c r="I21" s="6">
        <v>318.39999999999998</v>
      </c>
      <c r="J21" s="6" t="str">
        <f>IF(I21&gt;formulas!$B$5,"yes","no")</f>
        <v>no</v>
      </c>
      <c r="K21" s="6" t="str">
        <f t="shared" si="0"/>
        <v>yes</v>
      </c>
      <c r="L21" s="6" t="str">
        <f>IF(COUNTIF('raw data'!$B$2:$B$501,B21)&gt;1,"Yes","No")</f>
        <v>Yes</v>
      </c>
      <c r="M21" t="str">
        <f t="shared" si="1"/>
        <v>yes</v>
      </c>
      <c r="N21" t="str">
        <f t="shared" si="2"/>
        <v>No</v>
      </c>
      <c r="O21">
        <f>SUMIF('raw data'!B$2:B$501,B21,'raw data'!I$2:I$501)</f>
        <v>4815.3999999999996</v>
      </c>
      <c r="P21" t="str">
        <f>IF(OR(I21&lt;Visualization!$B$6,I21&gt;Visualization!$B$7),"Outlier","Normal")</f>
        <v>Outlier</v>
      </c>
      <c r="T21">
        <v>8000</v>
      </c>
    </row>
    <row r="22" spans="1:20" x14ac:dyDescent="0.35">
      <c r="A22" s="6" t="s">
        <v>29</v>
      </c>
      <c r="B22" s="15">
        <v>45220</v>
      </c>
      <c r="C22" s="6" t="s">
        <v>521</v>
      </c>
      <c r="D22" s="6" t="s">
        <v>611</v>
      </c>
      <c r="E22" s="6" t="s">
        <v>633</v>
      </c>
      <c r="F22" s="6">
        <v>0</v>
      </c>
      <c r="G22" s="6">
        <v>1499</v>
      </c>
      <c r="H22" s="6">
        <v>5</v>
      </c>
      <c r="I22" s="6">
        <v>0</v>
      </c>
      <c r="J22" s="6" t="str">
        <f>IF(I22&gt;formulas!$B$5,"yes","no")</f>
        <v>no</v>
      </c>
      <c r="K22" s="6" t="str">
        <f t="shared" si="0"/>
        <v>yes</v>
      </c>
      <c r="L22" s="6" t="str">
        <f>IF(COUNTIF('raw data'!$B$2:$B$501,B22)&gt;1,"Yes","No")</f>
        <v>Yes</v>
      </c>
      <c r="M22" t="str">
        <f t="shared" si="1"/>
        <v>no</v>
      </c>
      <c r="N22" t="str">
        <f t="shared" si="2"/>
        <v>No</v>
      </c>
      <c r="O22">
        <f>SUMIF('raw data'!B$2:B$501,B22,'raw data'!I$2:I$501)</f>
        <v>3398.3</v>
      </c>
      <c r="P22" t="str">
        <f>IF(OR(I22&lt;Visualization!$B$6,I22&gt;Visualization!$B$7),"Outlier","Normal")</f>
        <v>Normal</v>
      </c>
      <c r="T22">
        <v>12000</v>
      </c>
    </row>
    <row r="23" spans="1:20" x14ac:dyDescent="0.35">
      <c r="A23" s="6" t="s">
        <v>30</v>
      </c>
      <c r="B23" s="15">
        <v>45118</v>
      </c>
      <c r="C23" s="6" t="s">
        <v>526</v>
      </c>
      <c r="D23" s="6" t="s">
        <v>612</v>
      </c>
      <c r="E23" s="6" t="s">
        <v>634</v>
      </c>
      <c r="F23" s="6"/>
      <c r="G23" s="6">
        <v>499</v>
      </c>
      <c r="H23" s="6">
        <v>10</v>
      </c>
      <c r="I23" s="6"/>
      <c r="J23" s="6" t="str">
        <f>IF(I23&gt;formulas!$B$5,"yes","no")</f>
        <v>no</v>
      </c>
      <c r="K23" s="6" t="str">
        <f t="shared" si="0"/>
        <v>yes</v>
      </c>
      <c r="L23" s="6" t="str">
        <f>IF(COUNTIF('raw data'!$B$2:$B$501,B23)&gt;1,"Yes","No")</f>
        <v>Yes</v>
      </c>
      <c r="M23" t="str">
        <f t="shared" si="1"/>
        <v>no</v>
      </c>
      <c r="N23" t="str">
        <f t="shared" si="2"/>
        <v>No</v>
      </c>
      <c r="O23">
        <f>SUMIF('raw data'!B$2:B$501,B23,'raw data'!I$2:I$501)</f>
        <v>0</v>
      </c>
      <c r="P23" t="str">
        <f>IF(OR(I23&lt;Visualization!$B$6,I23&gt;Visualization!$B$7),"Outlier","Normal")</f>
        <v>Normal</v>
      </c>
    </row>
    <row r="24" spans="1:20" x14ac:dyDescent="0.35">
      <c r="A24" s="6" t="s">
        <v>31</v>
      </c>
      <c r="B24" s="15">
        <v>45203</v>
      </c>
      <c r="C24" s="6" t="s">
        <v>527</v>
      </c>
      <c r="D24" s="6" t="s">
        <v>613</v>
      </c>
      <c r="E24" s="6" t="s">
        <v>621</v>
      </c>
      <c r="F24" s="6">
        <v>1</v>
      </c>
      <c r="G24" s="6"/>
      <c r="H24" s="6">
        <v>0</v>
      </c>
      <c r="I24" s="6"/>
      <c r="J24" s="6" t="str">
        <f>IF(I24&gt;formulas!$B$5,"yes","no")</f>
        <v>no</v>
      </c>
      <c r="K24" s="6" t="str">
        <f t="shared" si="0"/>
        <v>no</v>
      </c>
      <c r="L24" s="6" t="str">
        <f>IF(COUNTIF('raw data'!$B$2:$B$501,B24)&gt;1,"Yes","No")</f>
        <v>Yes</v>
      </c>
      <c r="M24" t="str">
        <f t="shared" si="1"/>
        <v>no</v>
      </c>
      <c r="N24" t="str">
        <f t="shared" si="2"/>
        <v>No</v>
      </c>
      <c r="O24">
        <f>SUMIF('raw data'!B$2:B$501,B24,'raw data'!I$2:I$501)</f>
        <v>3598.2</v>
      </c>
      <c r="P24" t="str">
        <f>IF(OR(I24&lt;Visualization!$B$6,I24&gt;Visualization!$B$7),"Outlier","Normal")</f>
        <v>Normal</v>
      </c>
    </row>
    <row r="25" spans="1:20" x14ac:dyDescent="0.35">
      <c r="A25" s="6" t="s">
        <v>32</v>
      </c>
      <c r="B25" s="15">
        <v>45087</v>
      </c>
      <c r="C25" s="6" t="s">
        <v>528</v>
      </c>
      <c r="D25" s="6" t="s">
        <v>609</v>
      </c>
      <c r="E25" s="6" t="s">
        <v>635</v>
      </c>
      <c r="F25" s="6">
        <v>1</v>
      </c>
      <c r="G25" s="6">
        <v>1499</v>
      </c>
      <c r="H25" s="6"/>
      <c r="I25" s="6">
        <v>1499</v>
      </c>
      <c r="J25" s="6" t="str">
        <f>IF(I25&gt;formulas!$B$5,"yes","no")</f>
        <v>yes</v>
      </c>
      <c r="K25" s="6" t="str">
        <f t="shared" si="0"/>
        <v>no</v>
      </c>
      <c r="L25" s="6" t="str">
        <f>IF(COUNTIF('raw data'!$B$2:$B$501,B25)&gt;1,"Yes","No")</f>
        <v>Yes</v>
      </c>
      <c r="M25" t="str">
        <f t="shared" si="1"/>
        <v>no</v>
      </c>
      <c r="N25" t="str">
        <f t="shared" si="2"/>
        <v>Yes</v>
      </c>
      <c r="O25">
        <f>SUMIF('raw data'!B$2:B$501,B25,'raw data'!I$2:I$501)</f>
        <v>9893</v>
      </c>
      <c r="P25" t="str">
        <f>IF(OR(I25&lt;Visualization!$B$6,I25&gt;Visualization!$B$7),"Outlier","Normal")</f>
        <v>Outlier</v>
      </c>
    </row>
    <row r="26" spans="1:20" x14ac:dyDescent="0.35">
      <c r="A26" s="6" t="s">
        <v>33</v>
      </c>
      <c r="B26" s="15">
        <v>45240</v>
      </c>
      <c r="C26" s="6" t="s">
        <v>515</v>
      </c>
      <c r="D26" s="6" t="s">
        <v>610</v>
      </c>
      <c r="E26" s="6" t="s">
        <v>636</v>
      </c>
      <c r="F26" s="6">
        <v>1</v>
      </c>
      <c r="G26" s="6">
        <v>1499</v>
      </c>
      <c r="H26" s="6">
        <v>10</v>
      </c>
      <c r="I26" s="6">
        <v>1349.1</v>
      </c>
      <c r="J26" s="6" t="str">
        <f>IF(I26&gt;formulas!$B$5,"yes","no")</f>
        <v>no</v>
      </c>
      <c r="K26" s="6" t="str">
        <f t="shared" si="0"/>
        <v>yes</v>
      </c>
      <c r="L26" s="6" t="str">
        <f>IF(COUNTIF('raw data'!$B$2:$B$501,B26)&gt;1,"Yes","No")</f>
        <v>Yes</v>
      </c>
      <c r="M26" t="str">
        <f t="shared" si="1"/>
        <v>no</v>
      </c>
      <c r="N26" t="str">
        <f t="shared" si="2"/>
        <v>No</v>
      </c>
      <c r="O26">
        <f>SUMIF('raw data'!B$2:B$501,B26,'raw data'!I$2:I$501)</f>
        <v>1349.1</v>
      </c>
      <c r="P26" t="str">
        <f>IF(OR(I26&lt;Visualization!$B$6,I26&gt;Visualization!$B$7),"Outlier","Normal")</f>
        <v>Outlier</v>
      </c>
    </row>
    <row r="27" spans="1:20" x14ac:dyDescent="0.35">
      <c r="A27" s="6" t="s">
        <v>34</v>
      </c>
      <c r="B27" s="15">
        <v>44948</v>
      </c>
      <c r="C27" s="6" t="s">
        <v>529</v>
      </c>
      <c r="D27" s="6" t="s">
        <v>613</v>
      </c>
      <c r="E27" s="6" t="s">
        <v>627</v>
      </c>
      <c r="F27" s="6">
        <v>3</v>
      </c>
      <c r="G27" s="6"/>
      <c r="H27" s="6">
        <v>10</v>
      </c>
      <c r="I27" s="6"/>
      <c r="J27" s="6" t="str">
        <f>IF(I27&gt;formulas!$B$5,"yes","no")</f>
        <v>no</v>
      </c>
      <c r="K27" s="6" t="str">
        <f t="shared" si="0"/>
        <v>yes</v>
      </c>
      <c r="L27" s="6" t="str">
        <f>IF(COUNTIF('raw data'!$B$2:$B$501,B27)&gt;1,"Yes","No")</f>
        <v>Yes</v>
      </c>
      <c r="M27" t="str">
        <f t="shared" si="1"/>
        <v>no</v>
      </c>
      <c r="N27" t="str">
        <f t="shared" si="2"/>
        <v>No</v>
      </c>
      <c r="O27">
        <f>SUMIF('raw data'!B$2:B$501,B27,'raw data'!I$2:I$501)</f>
        <v>1699.15</v>
      </c>
      <c r="P27" t="str">
        <f>IF(OR(I27&lt;Visualization!$B$6,I27&gt;Visualization!$B$7),"Outlier","Normal")</f>
        <v>Normal</v>
      </c>
    </row>
    <row r="28" spans="1:20" x14ac:dyDescent="0.35">
      <c r="A28" s="6" t="s">
        <v>35</v>
      </c>
      <c r="B28" s="15">
        <v>45179</v>
      </c>
      <c r="C28" s="6" t="s">
        <v>530</v>
      </c>
      <c r="D28" s="6" t="s">
        <v>609</v>
      </c>
      <c r="E28" s="6" t="s">
        <v>637</v>
      </c>
      <c r="F28" s="6">
        <v>1</v>
      </c>
      <c r="G28" s="6">
        <v>199</v>
      </c>
      <c r="H28" s="6">
        <v>10</v>
      </c>
      <c r="I28" s="6">
        <v>179.1</v>
      </c>
      <c r="J28" s="6" t="str">
        <f>IF(I28&gt;formulas!$B$5,"yes","no")</f>
        <v>no</v>
      </c>
      <c r="K28" s="6" t="str">
        <f t="shared" si="0"/>
        <v>yes</v>
      </c>
      <c r="L28" s="6" t="str">
        <f>IF(COUNTIF('raw data'!$B$2:$B$501,B28)&gt;1,"Yes","No")</f>
        <v>Yes</v>
      </c>
      <c r="M28" t="str">
        <f t="shared" si="1"/>
        <v>no</v>
      </c>
      <c r="N28" t="str">
        <f t="shared" si="2"/>
        <v>No</v>
      </c>
      <c r="O28">
        <f>SUMIF('raw data'!B$2:B$501,B28,'raw data'!I$2:I$501)</f>
        <v>717.30000000000007</v>
      </c>
      <c r="P28" t="str">
        <f>IF(OR(I28&lt;Visualization!$B$6,I28&gt;Visualization!$B$7),"Outlier","Normal")</f>
        <v>Outlier</v>
      </c>
    </row>
    <row r="29" spans="1:20" x14ac:dyDescent="0.35">
      <c r="A29" s="6" t="s">
        <v>36</v>
      </c>
      <c r="B29" s="15">
        <v>45162</v>
      </c>
      <c r="C29" s="6" t="s">
        <v>509</v>
      </c>
      <c r="D29" s="6" t="s">
        <v>609</v>
      </c>
      <c r="E29" s="6" t="s">
        <v>638</v>
      </c>
      <c r="F29" s="6">
        <v>1</v>
      </c>
      <c r="G29" s="6">
        <v>999</v>
      </c>
      <c r="H29" s="6">
        <v>10</v>
      </c>
      <c r="I29" s="6">
        <v>899.1</v>
      </c>
      <c r="J29" s="6" t="str">
        <f>IF(I29&gt;formulas!$B$5,"yes","no")</f>
        <v>no</v>
      </c>
      <c r="K29" s="6" t="str">
        <f t="shared" si="0"/>
        <v>yes</v>
      </c>
      <c r="L29" s="6" t="str">
        <f>IF(COUNTIF('raw data'!$B$2:$B$501,B29)&gt;1,"Yes","No")</f>
        <v>No</v>
      </c>
      <c r="M29" t="str">
        <f t="shared" si="1"/>
        <v>no</v>
      </c>
      <c r="N29" t="str">
        <f t="shared" si="2"/>
        <v>No</v>
      </c>
      <c r="O29">
        <f>SUMIF('raw data'!B$2:B$501,B29,'raw data'!I$2:I$501)</f>
        <v>899.1</v>
      </c>
      <c r="P29" t="str">
        <f>IF(OR(I29&lt;Visualization!$B$6,I29&gt;Visualization!$B$7),"Outlier","Normal")</f>
        <v>Outlier</v>
      </c>
    </row>
    <row r="30" spans="1:20" x14ac:dyDescent="0.35">
      <c r="A30" s="6" t="s">
        <v>37</v>
      </c>
      <c r="B30" s="15">
        <v>45271</v>
      </c>
      <c r="C30" s="6" t="s">
        <v>517</v>
      </c>
      <c r="D30" s="6" t="s">
        <v>611</v>
      </c>
      <c r="E30" s="6" t="s">
        <v>639</v>
      </c>
      <c r="F30" s="6">
        <v>1</v>
      </c>
      <c r="G30" s="6"/>
      <c r="H30" s="6">
        <v>5</v>
      </c>
      <c r="I30" s="6"/>
      <c r="J30" s="6" t="str">
        <f>IF(I30&gt;formulas!$B$5,"yes","no")</f>
        <v>no</v>
      </c>
      <c r="K30" s="6" t="str">
        <f t="shared" si="0"/>
        <v>yes</v>
      </c>
      <c r="L30" s="6" t="str">
        <f>IF(COUNTIF('raw data'!$B$2:$B$501,B30)&gt;1,"Yes","No")</f>
        <v>Yes</v>
      </c>
      <c r="M30" t="str">
        <f t="shared" si="1"/>
        <v>no</v>
      </c>
      <c r="N30" t="str">
        <f t="shared" si="2"/>
        <v>No</v>
      </c>
      <c r="O30">
        <f>SUMIF('raw data'!B$2:B$501,B30,'raw data'!I$2:I$501)</f>
        <v>897</v>
      </c>
      <c r="P30" t="str">
        <f>IF(OR(I30&lt;Visualization!$B$6,I30&gt;Visualization!$B$7),"Outlier","Normal")</f>
        <v>Normal</v>
      </c>
    </row>
    <row r="31" spans="1:20" x14ac:dyDescent="0.35">
      <c r="A31" s="6" t="s">
        <v>38</v>
      </c>
      <c r="B31" s="15">
        <v>44975</v>
      </c>
      <c r="C31" s="6" t="s">
        <v>531</v>
      </c>
      <c r="D31" s="6" t="s">
        <v>612</v>
      </c>
      <c r="E31" s="6" t="s">
        <v>640</v>
      </c>
      <c r="F31" s="6">
        <v>1</v>
      </c>
      <c r="G31" s="6">
        <v>499</v>
      </c>
      <c r="H31" s="6"/>
      <c r="I31" s="6">
        <v>499</v>
      </c>
      <c r="J31" s="6" t="str">
        <f>IF(I31&gt;formulas!$B$5,"yes","no")</f>
        <v>no</v>
      </c>
      <c r="K31" s="6" t="str">
        <f t="shared" si="0"/>
        <v>no</v>
      </c>
      <c r="L31" s="6" t="str">
        <f>IF(COUNTIF('raw data'!$B$2:$B$501,B31)&gt;1,"Yes","No")</f>
        <v>Yes</v>
      </c>
      <c r="M31" t="str">
        <f t="shared" si="1"/>
        <v>no</v>
      </c>
      <c r="N31" t="str">
        <f t="shared" si="2"/>
        <v>No</v>
      </c>
      <c r="O31">
        <f>SUMIF('raw data'!B$2:B$501,B31,'raw data'!I$2:I$501)</f>
        <v>668.15</v>
      </c>
      <c r="P31" t="str">
        <f>IF(OR(I31&lt;Visualization!$B$6,I31&gt;Visualization!$B$7),"Outlier","Normal")</f>
        <v>Outlier</v>
      </c>
    </row>
    <row r="32" spans="1:20" x14ac:dyDescent="0.35">
      <c r="A32" s="6" t="s">
        <v>39</v>
      </c>
      <c r="B32" s="15">
        <v>44985</v>
      </c>
      <c r="C32" s="6" t="s">
        <v>532</v>
      </c>
      <c r="D32" s="6" t="s">
        <v>612</v>
      </c>
      <c r="E32" s="6" t="s">
        <v>641</v>
      </c>
      <c r="F32" s="6">
        <v>3</v>
      </c>
      <c r="G32" s="6">
        <v>299</v>
      </c>
      <c r="H32" s="6"/>
      <c r="I32" s="6">
        <v>897</v>
      </c>
      <c r="J32" s="6" t="str">
        <f>IF(I32&gt;formulas!$B$5,"yes","no")</f>
        <v>no</v>
      </c>
      <c r="K32" s="6" t="str">
        <f t="shared" si="0"/>
        <v>no</v>
      </c>
      <c r="L32" s="6" t="str">
        <f>IF(COUNTIF('raw data'!$B$2:$B$501,B32)&gt;1,"Yes","No")</f>
        <v>No</v>
      </c>
      <c r="M32" t="str">
        <f t="shared" si="1"/>
        <v>no</v>
      </c>
      <c r="N32" t="str">
        <f t="shared" si="2"/>
        <v>No</v>
      </c>
      <c r="O32">
        <f>SUMIF('raw data'!B$2:B$501,B32,'raw data'!I$2:I$501)</f>
        <v>897</v>
      </c>
      <c r="P32" t="str">
        <f>IF(OR(I32&lt;Visualization!$B$6,I32&gt;Visualization!$B$7),"Outlier","Normal")</f>
        <v>Outlier</v>
      </c>
    </row>
    <row r="33" spans="1:16" x14ac:dyDescent="0.35">
      <c r="A33" s="6" t="s">
        <v>40</v>
      </c>
      <c r="B33" s="15">
        <v>45096</v>
      </c>
      <c r="C33" s="6" t="s">
        <v>533</v>
      </c>
      <c r="D33" s="6" t="s">
        <v>613</v>
      </c>
      <c r="E33" s="6" t="s">
        <v>642</v>
      </c>
      <c r="F33" s="6">
        <v>3</v>
      </c>
      <c r="G33" s="6">
        <v>299</v>
      </c>
      <c r="H33" s="6"/>
      <c r="I33" s="6">
        <v>897</v>
      </c>
      <c r="J33" s="6" t="str">
        <f>IF(I33&gt;formulas!$B$5,"yes","no")</f>
        <v>no</v>
      </c>
      <c r="K33" s="6" t="str">
        <f t="shared" si="0"/>
        <v>no</v>
      </c>
      <c r="L33" s="6" t="str">
        <f>IF(COUNTIF('raw data'!$B$2:$B$501,B33)&gt;1,"Yes","No")</f>
        <v>Yes</v>
      </c>
      <c r="M33" t="str">
        <f t="shared" si="1"/>
        <v>no</v>
      </c>
      <c r="N33" t="str">
        <f t="shared" si="2"/>
        <v>No</v>
      </c>
      <c r="O33">
        <f>SUMIF('raw data'!B$2:B$501,B33,'raw data'!I$2:I$501)</f>
        <v>5689</v>
      </c>
      <c r="P33" t="str">
        <f>IF(OR(I33&lt;Visualization!$B$6,I33&gt;Visualization!$B$7),"Outlier","Normal")</f>
        <v>Outlier</v>
      </c>
    </row>
    <row r="34" spans="1:16" x14ac:dyDescent="0.35">
      <c r="A34" s="6" t="s">
        <v>41</v>
      </c>
      <c r="B34" s="15">
        <v>45114</v>
      </c>
      <c r="C34" s="6" t="s">
        <v>534</v>
      </c>
      <c r="D34" s="6" t="s">
        <v>612</v>
      </c>
      <c r="E34" s="6" t="s">
        <v>642</v>
      </c>
      <c r="F34" s="6">
        <v>2</v>
      </c>
      <c r="G34" s="6">
        <v>1999</v>
      </c>
      <c r="H34" s="6">
        <v>15</v>
      </c>
      <c r="I34" s="6">
        <v>3398.3</v>
      </c>
      <c r="J34" s="6" t="str">
        <f>IF(I34&gt;formulas!$B$5,"yes","no")</f>
        <v>yes</v>
      </c>
      <c r="K34" s="6" t="str">
        <f t="shared" si="0"/>
        <v>yes</v>
      </c>
      <c r="L34" s="6" t="str">
        <f>IF(COUNTIF('raw data'!$B$2:$B$501,B34)&gt;1,"Yes","No")</f>
        <v>Yes</v>
      </c>
      <c r="M34" t="str">
        <f t="shared" si="1"/>
        <v>no</v>
      </c>
      <c r="N34" t="str">
        <f t="shared" si="2"/>
        <v>Yes</v>
      </c>
      <c r="O34">
        <f>SUMIF('raw data'!B$2:B$501,B34,'raw data'!I$2:I$501)</f>
        <v>6794.9000000000005</v>
      </c>
      <c r="P34" t="str">
        <f>IF(OR(I34&lt;Visualization!$B$6,I34&gt;Visualization!$B$7),"Outlier","Normal")</f>
        <v>Outlier</v>
      </c>
    </row>
    <row r="35" spans="1:16" x14ac:dyDescent="0.35">
      <c r="A35" s="6" t="s">
        <v>42</v>
      </c>
      <c r="B35" s="15">
        <v>45197</v>
      </c>
      <c r="C35" s="6" t="s">
        <v>535</v>
      </c>
      <c r="D35" s="6" t="s">
        <v>610</v>
      </c>
      <c r="E35" s="6" t="s">
        <v>635</v>
      </c>
      <c r="F35" s="6">
        <v>2</v>
      </c>
      <c r="G35" s="6">
        <v>1999</v>
      </c>
      <c r="H35" s="6">
        <v>20</v>
      </c>
      <c r="I35" s="6">
        <v>3198.4</v>
      </c>
      <c r="J35" s="6" t="str">
        <f>IF(I35&gt;formulas!$B$5,"yes","no")</f>
        <v>yes</v>
      </c>
      <c r="K35" s="6" t="str">
        <f t="shared" si="0"/>
        <v>yes</v>
      </c>
      <c r="L35" s="6" t="str">
        <f>IF(COUNTIF('raw data'!$B$2:$B$501,B35)&gt;1,"Yes","No")</f>
        <v>Yes</v>
      </c>
      <c r="M35" t="str">
        <f t="shared" si="1"/>
        <v>yes</v>
      </c>
      <c r="N35" t="str">
        <f t="shared" si="2"/>
        <v>Yes</v>
      </c>
      <c r="O35">
        <f>SUMIF('raw data'!B$2:B$501,B35,'raw data'!I$2:I$501)</f>
        <v>3556.6</v>
      </c>
      <c r="P35" t="str">
        <f>IF(OR(I35&lt;Visualization!$B$6,I35&gt;Visualization!$B$7),"Outlier","Normal")</f>
        <v>Outlier</v>
      </c>
    </row>
    <row r="36" spans="1:16" x14ac:dyDescent="0.35">
      <c r="A36" s="6" t="s">
        <v>43</v>
      </c>
      <c r="B36" s="15">
        <v>45116</v>
      </c>
      <c r="C36" s="6" t="s">
        <v>536</v>
      </c>
      <c r="D36" s="6" t="s">
        <v>612</v>
      </c>
      <c r="E36" s="6" t="s">
        <v>643</v>
      </c>
      <c r="F36" s="6">
        <v>3</v>
      </c>
      <c r="G36" s="6">
        <v>1499</v>
      </c>
      <c r="H36" s="6"/>
      <c r="I36" s="6">
        <v>4497</v>
      </c>
      <c r="J36" s="6" t="str">
        <f>IF(I36&gt;formulas!$B$5,"yes","no")</f>
        <v>yes</v>
      </c>
      <c r="K36" s="6" t="str">
        <f t="shared" si="0"/>
        <v>no</v>
      </c>
      <c r="L36" s="6" t="str">
        <f>IF(COUNTIF('raw data'!$B$2:$B$501,B36)&gt;1,"Yes","No")</f>
        <v>Yes</v>
      </c>
      <c r="M36" t="str">
        <f t="shared" si="1"/>
        <v>no</v>
      </c>
      <c r="N36" t="str">
        <f t="shared" si="2"/>
        <v>Yes</v>
      </c>
      <c r="O36">
        <f>SUMIF('raw data'!B$2:B$501,B36,'raw data'!I$2:I$501)</f>
        <v>6729</v>
      </c>
      <c r="P36" t="str">
        <f>IF(OR(I36&lt;Visualization!$B$6,I36&gt;Visualization!$B$7),"Outlier","Normal")</f>
        <v>Outlier</v>
      </c>
    </row>
    <row r="37" spans="1:16" x14ac:dyDescent="0.35">
      <c r="A37" s="6" t="s">
        <v>44</v>
      </c>
      <c r="B37" s="15">
        <v>45101</v>
      </c>
      <c r="C37" s="6" t="s">
        <v>525</v>
      </c>
      <c r="D37" s="6" t="s">
        <v>613</v>
      </c>
      <c r="E37" s="6" t="s">
        <v>644</v>
      </c>
      <c r="F37" s="6">
        <v>0</v>
      </c>
      <c r="G37" s="6">
        <v>299</v>
      </c>
      <c r="H37" s="6">
        <v>10</v>
      </c>
      <c r="I37" s="6">
        <v>0</v>
      </c>
      <c r="J37" s="6" t="str">
        <f>IF(I37&gt;formulas!$B$5,"yes","no")</f>
        <v>no</v>
      </c>
      <c r="K37" s="6" t="str">
        <f t="shared" si="0"/>
        <v>yes</v>
      </c>
      <c r="L37" s="6" t="str">
        <f>IF(COUNTIF('raw data'!$B$2:$B$501,B37)&gt;1,"Yes","No")</f>
        <v>No</v>
      </c>
      <c r="M37" t="str">
        <f t="shared" si="1"/>
        <v>no</v>
      </c>
      <c r="N37" t="str">
        <f t="shared" si="2"/>
        <v>No</v>
      </c>
      <c r="O37">
        <f>SUMIF('raw data'!B$2:B$501,B37,'raw data'!I$2:I$501)</f>
        <v>0</v>
      </c>
      <c r="P37" t="str">
        <f>IF(OR(I37&lt;Visualization!$B$6,I37&gt;Visualization!$B$7),"Outlier","Normal")</f>
        <v>Normal</v>
      </c>
    </row>
    <row r="38" spans="1:16" x14ac:dyDescent="0.35">
      <c r="A38" s="6" t="s">
        <v>45</v>
      </c>
      <c r="B38" s="15">
        <v>44977</v>
      </c>
      <c r="C38" s="6" t="s">
        <v>533</v>
      </c>
      <c r="D38" s="6" t="s">
        <v>612</v>
      </c>
      <c r="E38" s="6" t="s">
        <v>645</v>
      </c>
      <c r="F38" s="6">
        <v>2</v>
      </c>
      <c r="G38" s="6">
        <v>999</v>
      </c>
      <c r="H38" s="6">
        <v>10</v>
      </c>
      <c r="I38" s="6">
        <v>1798.2</v>
      </c>
      <c r="J38" s="6" t="str">
        <f>IF(I38&gt;formulas!$B$5,"yes","no")</f>
        <v>yes</v>
      </c>
      <c r="K38" s="6" t="str">
        <f t="shared" si="0"/>
        <v>yes</v>
      </c>
      <c r="L38" s="6" t="str">
        <f>IF(COUNTIF('raw data'!$B$2:$B$501,B38)&gt;1,"Yes","No")</f>
        <v>Yes</v>
      </c>
      <c r="M38" t="str">
        <f t="shared" si="1"/>
        <v>no</v>
      </c>
      <c r="N38" t="str">
        <f t="shared" si="2"/>
        <v>Yes</v>
      </c>
      <c r="O38">
        <f>SUMIF('raw data'!B$2:B$501,B38,'raw data'!I$2:I$501)</f>
        <v>6245.55</v>
      </c>
      <c r="P38" t="str">
        <f>IF(OR(I38&lt;Visualization!$B$6,I38&gt;Visualization!$B$7),"Outlier","Normal")</f>
        <v>Outlier</v>
      </c>
    </row>
    <row r="39" spans="1:16" x14ac:dyDescent="0.35">
      <c r="A39" s="6" t="s">
        <v>46</v>
      </c>
      <c r="B39" s="15">
        <v>45290</v>
      </c>
      <c r="C39" s="6" t="s">
        <v>537</v>
      </c>
      <c r="D39" s="6" t="s">
        <v>610</v>
      </c>
      <c r="E39" s="6" t="s">
        <v>646</v>
      </c>
      <c r="F39" s="6"/>
      <c r="G39" s="6">
        <v>199</v>
      </c>
      <c r="H39" s="6"/>
      <c r="I39" s="6"/>
      <c r="J39" s="6" t="str">
        <f>IF(I39&gt;formulas!$B$5,"yes","no")</f>
        <v>no</v>
      </c>
      <c r="K39" s="6" t="str">
        <f t="shared" si="0"/>
        <v>no</v>
      </c>
      <c r="L39" s="6" t="str">
        <f>IF(COUNTIF('raw data'!$B$2:$B$501,B39)&gt;1,"Yes","No")</f>
        <v>No</v>
      </c>
      <c r="M39" t="str">
        <f t="shared" si="1"/>
        <v>no</v>
      </c>
      <c r="N39" t="str">
        <f t="shared" si="2"/>
        <v>No</v>
      </c>
      <c r="O39">
        <f>SUMIF('raw data'!B$2:B$501,B39,'raw data'!I$2:I$501)</f>
        <v>0</v>
      </c>
      <c r="P39" t="str">
        <f>IF(OR(I39&lt;Visualization!$B$6,I39&gt;Visualization!$B$7),"Outlier","Normal")</f>
        <v>Normal</v>
      </c>
    </row>
    <row r="40" spans="1:16" x14ac:dyDescent="0.35">
      <c r="A40" s="6" t="s">
        <v>47</v>
      </c>
      <c r="B40" s="15">
        <v>44981</v>
      </c>
      <c r="C40" s="6" t="s">
        <v>538</v>
      </c>
      <c r="D40" s="6" t="s">
        <v>611</v>
      </c>
      <c r="E40" s="6" t="s">
        <v>647</v>
      </c>
      <c r="F40" s="6">
        <v>3</v>
      </c>
      <c r="G40" s="6">
        <v>499</v>
      </c>
      <c r="H40" s="6"/>
      <c r="I40" s="6">
        <v>1497</v>
      </c>
      <c r="J40" s="6" t="str">
        <f>IF(I40&gt;formulas!$B$5,"yes","no")</f>
        <v>yes</v>
      </c>
      <c r="K40" s="6" t="str">
        <f t="shared" si="0"/>
        <v>no</v>
      </c>
      <c r="L40" s="6" t="str">
        <f>IF(COUNTIF('raw data'!$B$2:$B$501,B40)&gt;1,"Yes","No")</f>
        <v>No</v>
      </c>
      <c r="M40" t="str">
        <f t="shared" si="1"/>
        <v>no</v>
      </c>
      <c r="N40" t="str">
        <f t="shared" si="2"/>
        <v>No</v>
      </c>
      <c r="O40">
        <f>SUMIF('raw data'!B$2:B$501,B40,'raw data'!I$2:I$501)</f>
        <v>1497</v>
      </c>
      <c r="P40" t="str">
        <f>IF(OR(I40&lt;Visualization!$B$6,I40&gt;Visualization!$B$7),"Outlier","Normal")</f>
        <v>Outlier</v>
      </c>
    </row>
    <row r="41" spans="1:16" x14ac:dyDescent="0.35">
      <c r="A41" s="6" t="s">
        <v>48</v>
      </c>
      <c r="B41" s="15">
        <v>45170</v>
      </c>
      <c r="C41" s="6" t="s">
        <v>539</v>
      </c>
      <c r="D41" s="6" t="s">
        <v>613</v>
      </c>
      <c r="E41" s="6" t="s">
        <v>633</v>
      </c>
      <c r="F41" s="6">
        <v>1</v>
      </c>
      <c r="G41" s="6">
        <v>1999</v>
      </c>
      <c r="H41" s="6">
        <v>10</v>
      </c>
      <c r="I41" s="6">
        <v>1799.1</v>
      </c>
      <c r="J41" s="6" t="str">
        <f>IF(I41&gt;formulas!$B$5,"yes","no")</f>
        <v>yes</v>
      </c>
      <c r="K41" s="6" t="str">
        <f t="shared" si="0"/>
        <v>yes</v>
      </c>
      <c r="L41" s="6" t="str">
        <f>IF(COUNTIF('raw data'!$B$2:$B$501,B41)&gt;1,"Yes","No")</f>
        <v>No</v>
      </c>
      <c r="M41" t="str">
        <f t="shared" si="1"/>
        <v>no</v>
      </c>
      <c r="N41" t="str">
        <f t="shared" si="2"/>
        <v>No</v>
      </c>
      <c r="O41">
        <f>SUMIF('raw data'!B$2:B$501,B41,'raw data'!I$2:I$501)</f>
        <v>1799.1</v>
      </c>
      <c r="P41" t="str">
        <f>IF(OR(I41&lt;Visualization!$B$6,I41&gt;Visualization!$B$7),"Outlier","Normal")</f>
        <v>Outlier</v>
      </c>
    </row>
    <row r="42" spans="1:16" x14ac:dyDescent="0.35">
      <c r="A42" s="6" t="s">
        <v>49</v>
      </c>
      <c r="B42" s="15">
        <v>45246</v>
      </c>
      <c r="C42" s="6" t="s">
        <v>540</v>
      </c>
      <c r="D42" s="6" t="s">
        <v>611</v>
      </c>
      <c r="E42" s="6" t="s">
        <v>616</v>
      </c>
      <c r="F42" s="6">
        <v>2</v>
      </c>
      <c r="G42" s="6">
        <v>999</v>
      </c>
      <c r="H42" s="6">
        <v>15</v>
      </c>
      <c r="I42" s="6">
        <v>1698.3</v>
      </c>
      <c r="J42" s="6" t="str">
        <f>IF(I42&gt;formulas!$B$5,"yes","no")</f>
        <v>yes</v>
      </c>
      <c r="K42" s="6" t="str">
        <f t="shared" si="0"/>
        <v>yes</v>
      </c>
      <c r="L42" s="6" t="str">
        <f>IF(COUNTIF('raw data'!$B$2:$B$501,B42)&gt;1,"Yes","No")</f>
        <v>No</v>
      </c>
      <c r="M42" t="str">
        <f t="shared" si="1"/>
        <v>no</v>
      </c>
      <c r="N42" t="str">
        <f t="shared" si="2"/>
        <v>No</v>
      </c>
      <c r="O42">
        <f>SUMIF('raw data'!B$2:B$501,B42,'raw data'!I$2:I$501)</f>
        <v>1698.3</v>
      </c>
      <c r="P42" t="str">
        <f>IF(OR(I42&lt;Visualization!$B$6,I42&gt;Visualization!$B$7),"Outlier","Normal")</f>
        <v>Outlier</v>
      </c>
    </row>
    <row r="43" spans="1:16" x14ac:dyDescent="0.35">
      <c r="A43" s="6" t="s">
        <v>50</v>
      </c>
      <c r="B43" s="15">
        <v>45057</v>
      </c>
      <c r="C43" s="6" t="s">
        <v>541</v>
      </c>
      <c r="D43" s="6" t="s">
        <v>611</v>
      </c>
      <c r="E43" s="6" t="s">
        <v>648</v>
      </c>
      <c r="F43" s="6">
        <v>2</v>
      </c>
      <c r="G43" s="6">
        <v>499</v>
      </c>
      <c r="H43" s="6">
        <v>0</v>
      </c>
      <c r="I43" s="6">
        <v>998</v>
      </c>
      <c r="J43" s="6" t="str">
        <f>IF(I43&gt;formulas!$B$5,"yes","no")</f>
        <v>no</v>
      </c>
      <c r="K43" s="6" t="str">
        <f t="shared" si="0"/>
        <v>no</v>
      </c>
      <c r="L43" s="6" t="str">
        <f>IF(COUNTIF('raw data'!$B$2:$B$501,B43)&gt;1,"Yes","No")</f>
        <v>Yes</v>
      </c>
      <c r="M43" t="str">
        <f t="shared" si="1"/>
        <v>no</v>
      </c>
      <c r="N43" t="str">
        <f t="shared" si="2"/>
        <v>No</v>
      </c>
      <c r="O43">
        <f>SUMIF('raw data'!B$2:B$501,B43,'raw data'!I$2:I$501)</f>
        <v>2495</v>
      </c>
      <c r="P43" t="str">
        <f>IF(OR(I43&lt;Visualization!$B$6,I43&gt;Visualization!$B$7),"Outlier","Normal")</f>
        <v>Outlier</v>
      </c>
    </row>
    <row r="44" spans="1:16" x14ac:dyDescent="0.35">
      <c r="A44" s="6" t="s">
        <v>51</v>
      </c>
      <c r="B44" s="15">
        <v>45233</v>
      </c>
      <c r="C44" s="6" t="s">
        <v>527</v>
      </c>
      <c r="D44" s="6" t="s">
        <v>611</v>
      </c>
      <c r="E44" s="6" t="s">
        <v>649</v>
      </c>
      <c r="F44" s="6">
        <v>2</v>
      </c>
      <c r="G44" s="6">
        <v>499</v>
      </c>
      <c r="H44" s="6">
        <v>0</v>
      </c>
      <c r="I44" s="6">
        <v>998</v>
      </c>
      <c r="J44" s="6" t="str">
        <f>IF(I44&gt;formulas!$B$5,"yes","no")</f>
        <v>no</v>
      </c>
      <c r="K44" s="6" t="str">
        <f t="shared" si="0"/>
        <v>no</v>
      </c>
      <c r="L44" s="6" t="str">
        <f>IF(COUNTIF('raw data'!$B$2:$B$501,B44)&gt;1,"Yes","No")</f>
        <v>Yes</v>
      </c>
      <c r="M44" t="str">
        <f t="shared" si="1"/>
        <v>no</v>
      </c>
      <c r="N44" t="str">
        <f t="shared" si="2"/>
        <v>No</v>
      </c>
      <c r="O44">
        <f>SUMIF('raw data'!B$2:B$501,B44,'raw data'!I$2:I$501)</f>
        <v>2997</v>
      </c>
      <c r="P44" t="str">
        <f>IF(OR(I44&lt;Visualization!$B$6,I44&gt;Visualization!$B$7),"Outlier","Normal")</f>
        <v>Outlier</v>
      </c>
    </row>
    <row r="45" spans="1:16" x14ac:dyDescent="0.35">
      <c r="A45" s="6" t="s">
        <v>52</v>
      </c>
      <c r="B45" s="15">
        <v>45061</v>
      </c>
      <c r="C45" s="6" t="s">
        <v>542</v>
      </c>
      <c r="D45" s="6" t="s">
        <v>609</v>
      </c>
      <c r="E45" s="6" t="s">
        <v>650</v>
      </c>
      <c r="F45" s="6">
        <v>1</v>
      </c>
      <c r="G45" s="6">
        <v>199</v>
      </c>
      <c r="H45" s="6"/>
      <c r="I45" s="6">
        <v>199</v>
      </c>
      <c r="J45" s="6" t="str">
        <f>IF(I45&gt;formulas!$B$5,"yes","no")</f>
        <v>no</v>
      </c>
      <c r="K45" s="6" t="str">
        <f t="shared" si="0"/>
        <v>no</v>
      </c>
      <c r="L45" s="6" t="str">
        <f>IF(COUNTIF('raw data'!$B$2:$B$501,B45)&gt;1,"Yes","No")</f>
        <v>Yes</v>
      </c>
      <c r="M45" t="str">
        <f t="shared" si="1"/>
        <v>no</v>
      </c>
      <c r="N45" t="str">
        <f t="shared" si="2"/>
        <v>No</v>
      </c>
      <c r="O45">
        <f>SUMIF('raw data'!B$2:B$501,B45,'raw data'!I$2:I$501)</f>
        <v>10466.950000000001</v>
      </c>
      <c r="P45" t="str">
        <f>IF(OR(I45&lt;Visualization!$B$6,I45&gt;Visualization!$B$7),"Outlier","Normal")</f>
        <v>Outlier</v>
      </c>
    </row>
    <row r="46" spans="1:16" x14ac:dyDescent="0.35">
      <c r="A46" s="6" t="s">
        <v>53</v>
      </c>
      <c r="B46" s="15">
        <v>44947</v>
      </c>
      <c r="C46" s="6" t="s">
        <v>543</v>
      </c>
      <c r="D46" s="6" t="s">
        <v>609</v>
      </c>
      <c r="E46" s="6" t="s">
        <v>625</v>
      </c>
      <c r="F46" s="6">
        <v>1</v>
      </c>
      <c r="G46" s="6">
        <v>1499</v>
      </c>
      <c r="H46" s="6">
        <v>5</v>
      </c>
      <c r="I46" s="6">
        <v>1424.05</v>
      </c>
      <c r="J46" s="6" t="str">
        <f>IF(I46&gt;formulas!$B$5,"yes","no")</f>
        <v>yes</v>
      </c>
      <c r="K46" s="6" t="str">
        <f t="shared" si="0"/>
        <v>yes</v>
      </c>
      <c r="L46" s="6" t="str">
        <f>IF(COUNTIF('raw data'!$B$2:$B$501,B46)&gt;1,"Yes","No")</f>
        <v>Yes</v>
      </c>
      <c r="M46" t="str">
        <f t="shared" si="1"/>
        <v>no</v>
      </c>
      <c r="N46" t="str">
        <f t="shared" si="2"/>
        <v>Yes</v>
      </c>
      <c r="O46">
        <f>SUMIF('raw data'!B$2:B$501,B46,'raw data'!I$2:I$501)</f>
        <v>1782.25</v>
      </c>
      <c r="P46" t="str">
        <f>IF(OR(I46&lt;Visualization!$B$6,I46&gt;Visualization!$B$7),"Outlier","Normal")</f>
        <v>Outlier</v>
      </c>
    </row>
    <row r="47" spans="1:16" x14ac:dyDescent="0.35">
      <c r="A47" s="6" t="s">
        <v>54</v>
      </c>
      <c r="B47" s="15">
        <v>45255</v>
      </c>
      <c r="C47" s="6" t="s">
        <v>544</v>
      </c>
      <c r="D47" s="6" t="s">
        <v>611</v>
      </c>
      <c r="E47" s="6" t="s">
        <v>651</v>
      </c>
      <c r="F47" s="6">
        <v>1</v>
      </c>
      <c r="G47" s="6">
        <v>299</v>
      </c>
      <c r="H47" s="6"/>
      <c r="I47" s="6">
        <v>299</v>
      </c>
      <c r="J47" s="6" t="str">
        <f>IF(I47&gt;formulas!$B$5,"yes","no")</f>
        <v>no</v>
      </c>
      <c r="K47" s="6" t="str">
        <f t="shared" si="0"/>
        <v>no</v>
      </c>
      <c r="L47" s="6" t="str">
        <f>IF(COUNTIF('raw data'!$B$2:$B$501,B47)&gt;1,"Yes","No")</f>
        <v>No</v>
      </c>
      <c r="M47" t="str">
        <f t="shared" si="1"/>
        <v>no</v>
      </c>
      <c r="N47" t="str">
        <f t="shared" si="2"/>
        <v>No</v>
      </c>
      <c r="O47">
        <f>SUMIF('raw data'!B$2:B$501,B47,'raw data'!I$2:I$501)</f>
        <v>299</v>
      </c>
      <c r="P47" t="str">
        <f>IF(OR(I47&lt;Visualization!$B$6,I47&gt;Visualization!$B$7),"Outlier","Normal")</f>
        <v>Outlier</v>
      </c>
    </row>
    <row r="48" spans="1:16" x14ac:dyDescent="0.35">
      <c r="A48" s="6" t="s">
        <v>55</v>
      </c>
      <c r="B48" s="15">
        <v>45093</v>
      </c>
      <c r="C48" s="6" t="s">
        <v>542</v>
      </c>
      <c r="D48" s="6" t="s">
        <v>613</v>
      </c>
      <c r="E48" s="6" t="s">
        <v>623</v>
      </c>
      <c r="F48" s="6">
        <v>5</v>
      </c>
      <c r="G48" s="6">
        <v>199</v>
      </c>
      <c r="H48" s="6"/>
      <c r="I48" s="6">
        <v>995</v>
      </c>
      <c r="J48" s="6" t="str">
        <f>IF(I48&gt;formulas!$B$5,"yes","no")</f>
        <v>no</v>
      </c>
      <c r="K48" s="6" t="str">
        <f t="shared" si="0"/>
        <v>no</v>
      </c>
      <c r="L48" s="6" t="str">
        <f>IF(COUNTIF('raw data'!$B$2:$B$501,B48)&gt;1,"Yes","No")</f>
        <v>No</v>
      </c>
      <c r="M48" t="str">
        <f t="shared" si="1"/>
        <v>no</v>
      </c>
      <c r="N48" t="str">
        <f t="shared" si="2"/>
        <v>No</v>
      </c>
      <c r="O48">
        <f>SUMIF('raw data'!B$2:B$501,B48,'raw data'!I$2:I$501)</f>
        <v>995</v>
      </c>
      <c r="P48" t="str">
        <f>IF(OR(I48&lt;Visualization!$B$6,I48&gt;Visualization!$B$7),"Outlier","Normal")</f>
        <v>Outlier</v>
      </c>
    </row>
    <row r="49" spans="1:16" x14ac:dyDescent="0.35">
      <c r="A49" s="6" t="s">
        <v>56</v>
      </c>
      <c r="B49" s="15">
        <v>45200</v>
      </c>
      <c r="C49" s="6" t="s">
        <v>545</v>
      </c>
      <c r="D49" s="6" t="s">
        <v>610</v>
      </c>
      <c r="E49" s="6" t="s">
        <v>640</v>
      </c>
      <c r="F49" s="6">
        <v>3</v>
      </c>
      <c r="G49" s="6">
        <v>999</v>
      </c>
      <c r="H49" s="6">
        <v>0</v>
      </c>
      <c r="I49" s="6">
        <v>2997</v>
      </c>
      <c r="J49" s="6" t="str">
        <f>IF(I49&gt;formulas!$B$5,"yes","no")</f>
        <v>yes</v>
      </c>
      <c r="K49" s="6" t="str">
        <f t="shared" si="0"/>
        <v>no</v>
      </c>
      <c r="L49" s="6" t="str">
        <f>IF(COUNTIF('raw data'!$B$2:$B$501,B49)&gt;1,"Yes","No")</f>
        <v>No</v>
      </c>
      <c r="M49" t="str">
        <f t="shared" si="1"/>
        <v>no</v>
      </c>
      <c r="N49" t="str">
        <f t="shared" si="2"/>
        <v>No</v>
      </c>
      <c r="O49">
        <f>SUMIF('raw data'!B$2:B$501,B49,'raw data'!I$2:I$501)</f>
        <v>2997</v>
      </c>
      <c r="P49" t="str">
        <f>IF(OR(I49&lt;Visualization!$B$6,I49&gt;Visualization!$B$7),"Outlier","Normal")</f>
        <v>Outlier</v>
      </c>
    </row>
    <row r="50" spans="1:16" x14ac:dyDescent="0.35">
      <c r="A50" s="6" t="s">
        <v>57</v>
      </c>
      <c r="B50" s="15">
        <v>45015</v>
      </c>
      <c r="C50" s="6" t="s">
        <v>546</v>
      </c>
      <c r="D50" s="6" t="s">
        <v>610</v>
      </c>
      <c r="E50" s="6" t="s">
        <v>652</v>
      </c>
      <c r="F50" s="6">
        <v>1</v>
      </c>
      <c r="G50" s="6">
        <v>1499</v>
      </c>
      <c r="H50" s="6">
        <v>10</v>
      </c>
      <c r="I50" s="6">
        <v>1349.1</v>
      </c>
      <c r="J50" s="6" t="str">
        <f>IF(I50&gt;formulas!$B$5,"yes","no")</f>
        <v>no</v>
      </c>
      <c r="K50" s="6" t="str">
        <f t="shared" si="0"/>
        <v>yes</v>
      </c>
      <c r="L50" s="6" t="str">
        <f>IF(COUNTIF('raw data'!$B$2:$B$501,B50)&gt;1,"Yes","No")</f>
        <v>Yes</v>
      </c>
      <c r="M50" t="str">
        <f t="shared" si="1"/>
        <v>no</v>
      </c>
      <c r="N50" t="str">
        <f t="shared" si="2"/>
        <v>No</v>
      </c>
      <c r="O50">
        <f>SUMIF('raw data'!B$2:B$501,B50,'raw data'!I$2:I$501)</f>
        <v>1748.3</v>
      </c>
      <c r="P50" t="str">
        <f>IF(OR(I50&lt;Visualization!$B$6,I50&gt;Visualization!$B$7),"Outlier","Normal")</f>
        <v>Outlier</v>
      </c>
    </row>
    <row r="51" spans="1:16" x14ac:dyDescent="0.35">
      <c r="A51" s="6" t="s">
        <v>58</v>
      </c>
      <c r="B51" s="15">
        <v>45242</v>
      </c>
      <c r="C51" s="6" t="s">
        <v>514</v>
      </c>
      <c r="D51" s="6" t="s">
        <v>612</v>
      </c>
      <c r="E51" s="6" t="s">
        <v>647</v>
      </c>
      <c r="F51" s="6">
        <v>1</v>
      </c>
      <c r="G51" s="6">
        <v>999</v>
      </c>
      <c r="H51" s="6"/>
      <c r="I51" s="6">
        <v>999</v>
      </c>
      <c r="J51" s="6" t="str">
        <f>IF(I51&gt;formulas!$B$5,"yes","no")</f>
        <v>no</v>
      </c>
      <c r="K51" s="6" t="str">
        <f t="shared" si="0"/>
        <v>no</v>
      </c>
      <c r="L51" s="6" t="str">
        <f>IF(COUNTIF('raw data'!$B$2:$B$501,B51)&gt;1,"Yes","No")</f>
        <v>Yes</v>
      </c>
      <c r="M51" t="str">
        <f t="shared" si="1"/>
        <v>no</v>
      </c>
      <c r="N51" t="str">
        <f t="shared" si="2"/>
        <v>No</v>
      </c>
      <c r="O51">
        <f>SUMIF('raw data'!B$2:B$501,B51,'raw data'!I$2:I$501)</f>
        <v>1397</v>
      </c>
      <c r="P51" t="str">
        <f>IF(OR(I51&lt;Visualization!$B$6,I51&gt;Visualization!$B$7),"Outlier","Normal")</f>
        <v>Outlier</v>
      </c>
    </row>
    <row r="52" spans="1:16" x14ac:dyDescent="0.35">
      <c r="A52" s="6" t="s">
        <v>59</v>
      </c>
      <c r="B52" s="15">
        <v>44940</v>
      </c>
      <c r="C52" s="6" t="s">
        <v>547</v>
      </c>
      <c r="D52" s="6" t="s">
        <v>613</v>
      </c>
      <c r="E52" s="6" t="s">
        <v>653</v>
      </c>
      <c r="F52" s="6">
        <v>3</v>
      </c>
      <c r="G52" s="6">
        <v>1499</v>
      </c>
      <c r="H52" s="6">
        <v>10</v>
      </c>
      <c r="I52" s="6">
        <v>4047.3</v>
      </c>
      <c r="J52" s="6" t="str">
        <f>IF(I52&gt;formulas!$B$5,"yes","no")</f>
        <v>yes</v>
      </c>
      <c r="K52" s="6" t="str">
        <f t="shared" si="0"/>
        <v>yes</v>
      </c>
      <c r="L52" s="6" t="str">
        <f>IF(COUNTIF('raw data'!$B$2:$B$501,B52)&gt;1,"Yes","No")</f>
        <v>No</v>
      </c>
      <c r="M52" t="str">
        <f t="shared" si="1"/>
        <v>no</v>
      </c>
      <c r="N52" t="str">
        <f t="shared" si="2"/>
        <v>No</v>
      </c>
      <c r="O52">
        <f>SUMIF('raw data'!B$2:B$501,B52,'raw data'!I$2:I$501)</f>
        <v>4047.3</v>
      </c>
      <c r="P52" t="str">
        <f>IF(OR(I52&lt;Visualization!$B$6,I52&gt;Visualization!$B$7),"Outlier","Normal")</f>
        <v>Outlier</v>
      </c>
    </row>
    <row r="53" spans="1:16" x14ac:dyDescent="0.35">
      <c r="A53" s="6" t="s">
        <v>60</v>
      </c>
      <c r="B53" s="15">
        <v>45168</v>
      </c>
      <c r="C53" s="6" t="s">
        <v>548</v>
      </c>
      <c r="D53" s="6" t="s">
        <v>609</v>
      </c>
      <c r="E53" s="6" t="s">
        <v>654</v>
      </c>
      <c r="F53" s="6">
        <v>1</v>
      </c>
      <c r="G53" s="6">
        <v>1999</v>
      </c>
      <c r="H53" s="6">
        <v>10</v>
      </c>
      <c r="I53" s="6">
        <v>1799.1</v>
      </c>
      <c r="J53" s="6" t="str">
        <f>IF(I53&gt;formulas!$B$5,"yes","no")</f>
        <v>yes</v>
      </c>
      <c r="K53" s="6" t="str">
        <f t="shared" si="0"/>
        <v>yes</v>
      </c>
      <c r="L53" s="6" t="str">
        <f>IF(COUNTIF('raw data'!$B$2:$B$501,B53)&gt;1,"Yes","No")</f>
        <v>No</v>
      </c>
      <c r="M53" t="str">
        <f t="shared" si="1"/>
        <v>no</v>
      </c>
      <c r="N53" t="str">
        <f t="shared" si="2"/>
        <v>No</v>
      </c>
      <c r="O53">
        <f>SUMIF('raw data'!B$2:B$501,B53,'raw data'!I$2:I$501)</f>
        <v>1799.1</v>
      </c>
      <c r="P53" t="str">
        <f>IF(OR(I53&lt;Visualization!$B$6,I53&gt;Visualization!$B$7),"Outlier","Normal")</f>
        <v>Outlier</v>
      </c>
    </row>
    <row r="54" spans="1:16" x14ac:dyDescent="0.35">
      <c r="A54" s="6" t="s">
        <v>61</v>
      </c>
      <c r="B54" s="15">
        <v>45191</v>
      </c>
      <c r="C54" s="6" t="s">
        <v>549</v>
      </c>
      <c r="D54" s="6" t="s">
        <v>611</v>
      </c>
      <c r="E54" s="6" t="s">
        <v>655</v>
      </c>
      <c r="F54" s="6">
        <v>1</v>
      </c>
      <c r="G54" s="6">
        <v>999</v>
      </c>
      <c r="H54" s="6">
        <v>5</v>
      </c>
      <c r="I54" s="6">
        <v>949.05</v>
      </c>
      <c r="J54" s="6" t="str">
        <f>IF(I54&gt;formulas!$B$5,"yes","no")</f>
        <v>no</v>
      </c>
      <c r="K54" s="6" t="str">
        <f t="shared" si="0"/>
        <v>yes</v>
      </c>
      <c r="L54" s="6" t="str">
        <f>IF(COUNTIF('raw data'!$B$2:$B$501,B54)&gt;1,"Yes","No")</f>
        <v>No</v>
      </c>
      <c r="M54" t="str">
        <f t="shared" si="1"/>
        <v>no</v>
      </c>
      <c r="N54" t="str">
        <f t="shared" si="2"/>
        <v>No</v>
      </c>
      <c r="O54">
        <f>SUMIF('raw data'!B$2:B$501,B54,'raw data'!I$2:I$501)</f>
        <v>949.05</v>
      </c>
      <c r="P54" t="str">
        <f>IF(OR(I54&lt;Visualization!$B$6,I54&gt;Visualization!$B$7),"Outlier","Normal")</f>
        <v>Outlier</v>
      </c>
    </row>
    <row r="55" spans="1:16" x14ac:dyDescent="0.35">
      <c r="A55" s="6" t="s">
        <v>62</v>
      </c>
      <c r="B55" s="15">
        <v>45272</v>
      </c>
      <c r="C55" s="6" t="s">
        <v>548</v>
      </c>
      <c r="D55" s="6" t="s">
        <v>612</v>
      </c>
      <c r="E55" s="6" t="s">
        <v>656</v>
      </c>
      <c r="F55" s="6"/>
      <c r="G55" s="6">
        <v>199</v>
      </c>
      <c r="H55" s="6">
        <v>10</v>
      </c>
      <c r="I55" s="6"/>
      <c r="J55" s="6" t="str">
        <f>IF(I55&gt;formulas!$B$5,"yes","no")</f>
        <v>no</v>
      </c>
      <c r="K55" s="6" t="str">
        <f t="shared" si="0"/>
        <v>yes</v>
      </c>
      <c r="L55" s="6" t="str">
        <f>IF(COUNTIF('raw data'!$B$2:$B$501,B55)&gt;1,"Yes","No")</f>
        <v>Yes</v>
      </c>
      <c r="M55" t="str">
        <f t="shared" si="1"/>
        <v>no</v>
      </c>
      <c r="N55" t="str">
        <f t="shared" si="2"/>
        <v>No</v>
      </c>
      <c r="O55">
        <f>SUMIF('raw data'!B$2:B$501,B55,'raw data'!I$2:I$501)</f>
        <v>3653.7</v>
      </c>
      <c r="P55" t="str">
        <f>IF(OR(I55&lt;Visualization!$B$6,I55&gt;Visualization!$B$7),"Outlier","Normal")</f>
        <v>Normal</v>
      </c>
    </row>
    <row r="56" spans="1:16" x14ac:dyDescent="0.35">
      <c r="A56" s="6" t="s">
        <v>63</v>
      </c>
      <c r="B56" s="15">
        <v>44979</v>
      </c>
      <c r="C56" s="6" t="s">
        <v>542</v>
      </c>
      <c r="D56" s="6" t="s">
        <v>610</v>
      </c>
      <c r="E56" s="6" t="s">
        <v>657</v>
      </c>
      <c r="F56" s="6">
        <v>1</v>
      </c>
      <c r="G56" s="6">
        <v>1499</v>
      </c>
      <c r="H56" s="6">
        <v>0</v>
      </c>
      <c r="I56" s="6">
        <v>1499</v>
      </c>
      <c r="J56" s="6" t="str">
        <f>IF(I56&gt;formulas!$B$5,"yes","no")</f>
        <v>yes</v>
      </c>
      <c r="K56" s="6" t="str">
        <f t="shared" si="0"/>
        <v>no</v>
      </c>
      <c r="L56" s="6" t="str">
        <f>IF(COUNTIF('raw data'!$B$2:$B$501,B56)&gt;1,"Yes","No")</f>
        <v>Yes</v>
      </c>
      <c r="M56" t="str">
        <f t="shared" si="1"/>
        <v>no</v>
      </c>
      <c r="N56" t="str">
        <f t="shared" si="2"/>
        <v>Yes</v>
      </c>
      <c r="O56">
        <f>SUMIF('raw data'!B$2:B$501,B56,'raw data'!I$2:I$501)</f>
        <v>3531.3</v>
      </c>
      <c r="P56" t="str">
        <f>IF(OR(I56&lt;Visualization!$B$6,I56&gt;Visualization!$B$7),"Outlier","Normal")</f>
        <v>Outlier</v>
      </c>
    </row>
    <row r="57" spans="1:16" x14ac:dyDescent="0.35">
      <c r="A57" s="6" t="s">
        <v>64</v>
      </c>
      <c r="B57" s="15">
        <v>45266</v>
      </c>
      <c r="C57" s="6" t="s">
        <v>550</v>
      </c>
      <c r="D57" s="6" t="s">
        <v>609</v>
      </c>
      <c r="E57" s="6" t="s">
        <v>627</v>
      </c>
      <c r="F57" s="6">
        <v>3</v>
      </c>
      <c r="G57" s="6">
        <v>1499</v>
      </c>
      <c r="H57" s="6">
        <v>15</v>
      </c>
      <c r="I57" s="6">
        <v>3822.45</v>
      </c>
      <c r="J57" s="6" t="str">
        <f>IF(I57&gt;formulas!$B$5,"yes","no")</f>
        <v>yes</v>
      </c>
      <c r="K57" s="6" t="str">
        <f t="shared" si="0"/>
        <v>yes</v>
      </c>
      <c r="L57" s="6" t="str">
        <f>IF(COUNTIF('raw data'!$B$2:$B$501,B57)&gt;1,"Yes","No")</f>
        <v>Yes</v>
      </c>
      <c r="M57" t="str">
        <f t="shared" si="1"/>
        <v>no</v>
      </c>
      <c r="N57" t="str">
        <f t="shared" si="2"/>
        <v>Yes</v>
      </c>
      <c r="O57">
        <f>SUMIF('raw data'!B$2:B$501,B57,'raw data'!I$2:I$501)</f>
        <v>11363.95</v>
      </c>
      <c r="P57" t="str">
        <f>IF(OR(I57&lt;Visualization!$B$6,I57&gt;Visualization!$B$7),"Outlier","Normal")</f>
        <v>Outlier</v>
      </c>
    </row>
    <row r="58" spans="1:16" x14ac:dyDescent="0.35">
      <c r="A58" s="6" t="s">
        <v>65</v>
      </c>
      <c r="B58" s="15">
        <v>45018</v>
      </c>
      <c r="C58" s="6" t="s">
        <v>551</v>
      </c>
      <c r="D58" s="6" t="s">
        <v>609</v>
      </c>
      <c r="E58" s="6" t="s">
        <v>624</v>
      </c>
      <c r="F58" s="6"/>
      <c r="G58" s="6">
        <v>499</v>
      </c>
      <c r="H58" s="6">
        <v>15</v>
      </c>
      <c r="I58" s="6"/>
      <c r="J58" s="6" t="str">
        <f>IF(I58&gt;formulas!$B$5,"yes","no")</f>
        <v>no</v>
      </c>
      <c r="K58" s="6" t="str">
        <f t="shared" si="0"/>
        <v>yes</v>
      </c>
      <c r="L58" s="6" t="str">
        <f>IF(COUNTIF('raw data'!$B$2:$B$501,B58)&gt;1,"Yes","No")</f>
        <v>Yes</v>
      </c>
      <c r="M58" t="str">
        <f t="shared" si="1"/>
        <v>no</v>
      </c>
      <c r="N58" t="str">
        <f t="shared" si="2"/>
        <v>No</v>
      </c>
      <c r="O58">
        <f>SUMIF('raw data'!B$2:B$501,B58,'raw data'!I$2:I$501)</f>
        <v>2892.6</v>
      </c>
      <c r="P58" t="str">
        <f>IF(OR(I58&lt;Visualization!$B$6,I58&gt;Visualization!$B$7),"Outlier","Normal")</f>
        <v>Normal</v>
      </c>
    </row>
    <row r="59" spans="1:16" x14ac:dyDescent="0.35">
      <c r="A59" s="6" t="s">
        <v>66</v>
      </c>
      <c r="B59" s="15">
        <v>45190</v>
      </c>
      <c r="C59" s="6" t="s">
        <v>514</v>
      </c>
      <c r="D59" s="6" t="s">
        <v>611</v>
      </c>
      <c r="E59" s="6" t="s">
        <v>620</v>
      </c>
      <c r="F59" s="6">
        <v>2</v>
      </c>
      <c r="G59" s="6">
        <v>499</v>
      </c>
      <c r="H59" s="6">
        <v>20</v>
      </c>
      <c r="I59" s="6">
        <v>798.40000000000009</v>
      </c>
      <c r="J59" s="6" t="str">
        <f>IF(I59&gt;formulas!$B$5,"yes","no")</f>
        <v>no</v>
      </c>
      <c r="K59" s="6" t="str">
        <f t="shared" si="0"/>
        <v>yes</v>
      </c>
      <c r="L59" s="6" t="str">
        <f>IF(COUNTIF('raw data'!$B$2:$B$501,B59)&gt;1,"Yes","No")</f>
        <v>Yes</v>
      </c>
      <c r="M59" t="str">
        <f t="shared" si="1"/>
        <v>yes</v>
      </c>
      <c r="N59" t="str">
        <f t="shared" si="2"/>
        <v>No</v>
      </c>
      <c r="O59">
        <f>SUMIF('raw data'!B$2:B$501,B59,'raw data'!I$2:I$501)</f>
        <v>10189.200000000001</v>
      </c>
      <c r="P59" t="str">
        <f>IF(OR(I59&lt;Visualization!$B$6,I59&gt;Visualization!$B$7),"Outlier","Normal")</f>
        <v>Outlier</v>
      </c>
    </row>
    <row r="60" spans="1:16" x14ac:dyDescent="0.35">
      <c r="A60" s="6" t="s">
        <v>67</v>
      </c>
      <c r="B60" s="15">
        <v>44961</v>
      </c>
      <c r="C60" s="6" t="s">
        <v>552</v>
      </c>
      <c r="D60" s="6" t="s">
        <v>610</v>
      </c>
      <c r="E60" s="6" t="s">
        <v>658</v>
      </c>
      <c r="F60" s="6">
        <v>0</v>
      </c>
      <c r="G60" s="6"/>
      <c r="H60" s="6"/>
      <c r="I60" s="6"/>
      <c r="J60" s="6" t="str">
        <f>IF(I60&gt;formulas!$B$5,"yes","no")</f>
        <v>no</v>
      </c>
      <c r="K60" s="6" t="str">
        <f t="shared" si="0"/>
        <v>no</v>
      </c>
      <c r="L60" s="6" t="str">
        <f>IF(COUNTIF('raw data'!$B$2:$B$501,B60)&gt;1,"Yes","No")</f>
        <v>Yes</v>
      </c>
      <c r="M60" t="str">
        <f t="shared" si="1"/>
        <v>no</v>
      </c>
      <c r="N60" t="str">
        <f t="shared" si="2"/>
        <v>No</v>
      </c>
      <c r="O60">
        <f>SUMIF('raw data'!B$2:B$501,B60,'raw data'!I$2:I$501)</f>
        <v>4197.3999999999996</v>
      </c>
      <c r="P60" t="str">
        <f>IF(OR(I60&lt;Visualization!$B$6,I60&gt;Visualization!$B$7),"Outlier","Normal")</f>
        <v>Normal</v>
      </c>
    </row>
    <row r="61" spans="1:16" x14ac:dyDescent="0.35">
      <c r="A61" s="6" t="s">
        <v>68</v>
      </c>
      <c r="B61" s="15">
        <v>45132</v>
      </c>
      <c r="C61" s="6" t="s">
        <v>553</v>
      </c>
      <c r="D61" s="6" t="s">
        <v>613</v>
      </c>
      <c r="E61" s="6" t="s">
        <v>659</v>
      </c>
      <c r="F61" s="6">
        <v>1</v>
      </c>
      <c r="G61" s="6">
        <v>999</v>
      </c>
      <c r="H61" s="6">
        <v>0</v>
      </c>
      <c r="I61" s="6">
        <v>999</v>
      </c>
      <c r="J61" s="6" t="str">
        <f>IF(I61&gt;formulas!$B$5,"yes","no")</f>
        <v>no</v>
      </c>
      <c r="K61" s="6" t="str">
        <f t="shared" si="0"/>
        <v>no</v>
      </c>
      <c r="L61" s="6" t="str">
        <f>IF(COUNTIF('raw data'!$B$2:$B$501,B61)&gt;1,"Yes","No")</f>
        <v>No</v>
      </c>
      <c r="M61" t="str">
        <f t="shared" si="1"/>
        <v>no</v>
      </c>
      <c r="N61" t="str">
        <f t="shared" si="2"/>
        <v>No</v>
      </c>
      <c r="O61">
        <f>SUMIF('raw data'!B$2:B$501,B61,'raw data'!I$2:I$501)</f>
        <v>999</v>
      </c>
      <c r="P61" t="str">
        <f>IF(OR(I61&lt;Visualization!$B$6,I61&gt;Visualization!$B$7),"Outlier","Normal")</f>
        <v>Outlier</v>
      </c>
    </row>
    <row r="62" spans="1:16" x14ac:dyDescent="0.35">
      <c r="A62" s="6" t="s">
        <v>69</v>
      </c>
      <c r="B62" s="15">
        <v>45007</v>
      </c>
      <c r="C62" s="6" t="s">
        <v>551</v>
      </c>
      <c r="D62" s="6" t="s">
        <v>609</v>
      </c>
      <c r="E62" s="6" t="s">
        <v>660</v>
      </c>
      <c r="F62" s="6">
        <v>4</v>
      </c>
      <c r="G62" s="6">
        <v>499</v>
      </c>
      <c r="H62" s="6">
        <v>10</v>
      </c>
      <c r="I62" s="6">
        <v>1796.4</v>
      </c>
      <c r="J62" s="6" t="str">
        <f>IF(I62&gt;formulas!$B$5,"yes","no")</f>
        <v>yes</v>
      </c>
      <c r="K62" s="6" t="str">
        <f t="shared" si="0"/>
        <v>yes</v>
      </c>
      <c r="L62" s="6" t="str">
        <f>IF(COUNTIF('raw data'!$B$2:$B$501,B62)&gt;1,"Yes","No")</f>
        <v>Yes</v>
      </c>
      <c r="M62" t="str">
        <f t="shared" si="1"/>
        <v>no</v>
      </c>
      <c r="N62" t="str">
        <f t="shared" si="2"/>
        <v>Yes</v>
      </c>
      <c r="O62">
        <f>SUMIF('raw data'!B$2:B$501,B62,'raw data'!I$2:I$501)</f>
        <v>4393.8</v>
      </c>
      <c r="P62" t="str">
        <f>IF(OR(I62&lt;Visualization!$B$6,I62&gt;Visualization!$B$7),"Outlier","Normal")</f>
        <v>Outlier</v>
      </c>
    </row>
    <row r="63" spans="1:16" x14ac:dyDescent="0.35">
      <c r="A63" s="6" t="s">
        <v>70</v>
      </c>
      <c r="B63" s="15">
        <v>44976</v>
      </c>
      <c r="C63" s="6" t="s">
        <v>554</v>
      </c>
      <c r="D63" s="6" t="s">
        <v>611</v>
      </c>
      <c r="E63" s="6" t="s">
        <v>646</v>
      </c>
      <c r="F63" s="6">
        <v>4</v>
      </c>
      <c r="G63" s="6"/>
      <c r="H63" s="6">
        <v>15</v>
      </c>
      <c r="I63" s="6"/>
      <c r="J63" s="6" t="str">
        <f>IF(I63&gt;formulas!$B$5,"yes","no")</f>
        <v>no</v>
      </c>
      <c r="K63" s="6" t="str">
        <f t="shared" si="0"/>
        <v>yes</v>
      </c>
      <c r="L63" s="6" t="str">
        <f>IF(COUNTIF('raw data'!$B$2:$B$501,B63)&gt;1,"Yes","No")</f>
        <v>No</v>
      </c>
      <c r="M63" t="str">
        <f t="shared" si="1"/>
        <v>no</v>
      </c>
      <c r="N63" t="str">
        <f t="shared" si="2"/>
        <v>No</v>
      </c>
      <c r="O63">
        <f>SUMIF('raw data'!B$2:B$501,B63,'raw data'!I$2:I$501)</f>
        <v>0</v>
      </c>
      <c r="P63" t="str">
        <f>IF(OR(I63&lt;Visualization!$B$6,I63&gt;Visualization!$B$7),"Outlier","Normal")</f>
        <v>Normal</v>
      </c>
    </row>
    <row r="64" spans="1:16" x14ac:dyDescent="0.35">
      <c r="A64" s="6" t="s">
        <v>71</v>
      </c>
      <c r="B64" s="15">
        <v>45286</v>
      </c>
      <c r="C64" s="6" t="s">
        <v>515</v>
      </c>
      <c r="D64" s="6" t="s">
        <v>613</v>
      </c>
      <c r="E64" s="6" t="s">
        <v>658</v>
      </c>
      <c r="F64" s="6">
        <v>4</v>
      </c>
      <c r="G64" s="6">
        <v>1999</v>
      </c>
      <c r="H64" s="6">
        <v>0</v>
      </c>
      <c r="I64" s="6">
        <v>7996</v>
      </c>
      <c r="J64" s="6" t="str">
        <f>IF(I64&gt;formulas!$B$5,"yes","no")</f>
        <v>yes</v>
      </c>
      <c r="K64" s="6" t="str">
        <f t="shared" si="0"/>
        <v>no</v>
      </c>
      <c r="L64" s="6" t="str">
        <f>IF(COUNTIF('raw data'!$B$2:$B$501,B64)&gt;1,"Yes","No")</f>
        <v>Yes</v>
      </c>
      <c r="M64" t="str">
        <f t="shared" si="1"/>
        <v>no</v>
      </c>
      <c r="N64" t="str">
        <f t="shared" si="2"/>
        <v>Yes</v>
      </c>
      <c r="O64">
        <f>SUMIF('raw data'!B$2:B$501,B64,'raw data'!I$2:I$501)</f>
        <v>11794.1</v>
      </c>
      <c r="P64" t="str">
        <f>IF(OR(I64&lt;Visualization!$B$6,I64&gt;Visualization!$B$7),"Outlier","Normal")</f>
        <v>Outlier</v>
      </c>
    </row>
    <row r="65" spans="1:16" x14ac:dyDescent="0.35">
      <c r="A65" s="6" t="s">
        <v>72</v>
      </c>
      <c r="B65" s="15">
        <v>44928</v>
      </c>
      <c r="C65" s="6" t="s">
        <v>555</v>
      </c>
      <c r="D65" s="6" t="s">
        <v>610</v>
      </c>
      <c r="E65" s="6" t="s">
        <v>628</v>
      </c>
      <c r="F65" s="6">
        <v>1</v>
      </c>
      <c r="G65" s="6">
        <v>1999</v>
      </c>
      <c r="H65" s="6">
        <v>15</v>
      </c>
      <c r="I65" s="6">
        <v>1699.15</v>
      </c>
      <c r="J65" s="6" t="str">
        <f>IF(I65&gt;formulas!$B$5,"yes","no")</f>
        <v>yes</v>
      </c>
      <c r="K65" s="6" t="str">
        <f t="shared" si="0"/>
        <v>yes</v>
      </c>
      <c r="L65" s="6" t="str">
        <f>IF(COUNTIF('raw data'!$B$2:$B$501,B65)&gt;1,"Yes","No")</f>
        <v>Yes</v>
      </c>
      <c r="M65" t="str">
        <f t="shared" si="1"/>
        <v>no</v>
      </c>
      <c r="N65" t="str">
        <f t="shared" si="2"/>
        <v>Yes</v>
      </c>
      <c r="O65">
        <f>SUMIF('raw data'!B$2:B$501,B65,'raw data'!I$2:I$501)</f>
        <v>1699.15</v>
      </c>
      <c r="P65" t="str">
        <f>IF(OR(I65&lt;Visualization!$B$6,I65&gt;Visualization!$B$7),"Outlier","Normal")</f>
        <v>Outlier</v>
      </c>
    </row>
    <row r="66" spans="1:16" x14ac:dyDescent="0.35">
      <c r="A66" s="6" t="s">
        <v>73</v>
      </c>
      <c r="B66" s="15">
        <v>44980</v>
      </c>
      <c r="C66" s="6" t="s">
        <v>528</v>
      </c>
      <c r="D66" s="6" t="s">
        <v>609</v>
      </c>
      <c r="E66" s="6" t="s">
        <v>627</v>
      </c>
      <c r="F66" s="6">
        <v>4</v>
      </c>
      <c r="G66" s="6">
        <v>499</v>
      </c>
      <c r="H66" s="6">
        <v>10</v>
      </c>
      <c r="I66" s="6">
        <v>1796.4</v>
      </c>
      <c r="J66" s="6" t="str">
        <f>IF(I66&gt;formulas!$B$5,"yes","no")</f>
        <v>yes</v>
      </c>
      <c r="K66" s="6" t="str">
        <f t="shared" si="0"/>
        <v>yes</v>
      </c>
      <c r="L66" s="6" t="str">
        <f>IF(COUNTIF('raw data'!$B$2:$B$501,B66)&gt;1,"Yes","No")</f>
        <v>Yes</v>
      </c>
      <c r="M66" t="str">
        <f t="shared" si="1"/>
        <v>no</v>
      </c>
      <c r="N66" t="str">
        <f t="shared" si="2"/>
        <v>Yes</v>
      </c>
      <c r="O66">
        <f>SUMIF('raw data'!B$2:B$501,B66,'raw data'!I$2:I$501)</f>
        <v>6687.6</v>
      </c>
      <c r="P66" t="str">
        <f>IF(OR(I66&lt;Visualization!$B$6,I66&gt;Visualization!$B$7),"Outlier","Normal")</f>
        <v>Outlier</v>
      </c>
    </row>
    <row r="67" spans="1:16" x14ac:dyDescent="0.35">
      <c r="A67" s="6" t="s">
        <v>74</v>
      </c>
      <c r="B67" s="15">
        <v>45032</v>
      </c>
      <c r="C67" s="6" t="s">
        <v>552</v>
      </c>
      <c r="D67" s="6" t="s">
        <v>613</v>
      </c>
      <c r="E67" s="6" t="s">
        <v>661</v>
      </c>
      <c r="F67" s="6">
        <v>5</v>
      </c>
      <c r="G67" s="6">
        <v>999</v>
      </c>
      <c r="H67" s="6">
        <v>15</v>
      </c>
      <c r="I67" s="6">
        <v>4245.75</v>
      </c>
      <c r="J67" s="6" t="str">
        <f>IF(I67&gt;formulas!$B$5,"yes","no")</f>
        <v>yes</v>
      </c>
      <c r="K67" s="6" t="str">
        <f t="shared" ref="K67:K130" si="3">IF(H67&gt;0,"yes","no")</f>
        <v>yes</v>
      </c>
      <c r="L67" s="6" t="str">
        <f>IF(COUNTIF('raw data'!$B$2:$B$501,B67)&gt;1,"Yes","No")</f>
        <v>Yes</v>
      </c>
      <c r="M67" t="str">
        <f t="shared" ref="M67:M130" si="4">IF(H67&gt;15,"yes","no")</f>
        <v>no</v>
      </c>
      <c r="N67" t="str">
        <f t="shared" ref="N67:N130" si="5">IF(AND(L67="Yes", J67="yes" ),"Yes","No")</f>
        <v>Yes</v>
      </c>
      <c r="O67">
        <f>SUMIF('raw data'!B$2:B$501,B67,'raw data'!I$2:I$501)</f>
        <v>8068.2</v>
      </c>
      <c r="P67" t="str">
        <f>IF(OR(I67&lt;Visualization!$B$6,I67&gt;Visualization!$B$7),"Outlier","Normal")</f>
        <v>Outlier</v>
      </c>
    </row>
    <row r="68" spans="1:16" x14ac:dyDescent="0.35">
      <c r="A68" s="6" t="s">
        <v>75</v>
      </c>
      <c r="B68" s="15">
        <v>45186</v>
      </c>
      <c r="C68" s="6" t="s">
        <v>543</v>
      </c>
      <c r="D68" s="6" t="s">
        <v>613</v>
      </c>
      <c r="E68" s="6" t="s">
        <v>662</v>
      </c>
      <c r="F68" s="6">
        <v>3</v>
      </c>
      <c r="G68" s="6">
        <v>1499</v>
      </c>
      <c r="H68" s="6"/>
      <c r="I68" s="6">
        <v>4497</v>
      </c>
      <c r="J68" s="6" t="str">
        <f>IF(I68&gt;formulas!$B$5,"yes","no")</f>
        <v>yes</v>
      </c>
      <c r="K68" s="6" t="str">
        <f t="shared" si="3"/>
        <v>no</v>
      </c>
      <c r="L68" s="6" t="str">
        <f>IF(COUNTIF('raw data'!$B$2:$B$501,B68)&gt;1,"Yes","No")</f>
        <v>No</v>
      </c>
      <c r="M68" t="str">
        <f t="shared" si="4"/>
        <v>no</v>
      </c>
      <c r="N68" t="str">
        <f t="shared" si="5"/>
        <v>No</v>
      </c>
      <c r="O68">
        <f>SUMIF('raw data'!B$2:B$501,B68,'raw data'!I$2:I$501)</f>
        <v>4497</v>
      </c>
      <c r="P68" t="str">
        <f>IF(OR(I68&lt;Visualization!$B$6,I68&gt;Visualization!$B$7),"Outlier","Normal")</f>
        <v>Outlier</v>
      </c>
    </row>
    <row r="69" spans="1:16" x14ac:dyDescent="0.35">
      <c r="A69" s="6" t="s">
        <v>76</v>
      </c>
      <c r="B69" s="15">
        <v>45236</v>
      </c>
      <c r="C69" s="6" t="s">
        <v>548</v>
      </c>
      <c r="D69" s="6" t="s">
        <v>613</v>
      </c>
      <c r="E69" s="6" t="s">
        <v>646</v>
      </c>
      <c r="F69" s="6">
        <v>5</v>
      </c>
      <c r="G69" s="6">
        <v>299</v>
      </c>
      <c r="H69" s="6"/>
      <c r="I69" s="6">
        <v>1495</v>
      </c>
      <c r="J69" s="6" t="str">
        <f>IF(I69&gt;formulas!$B$5,"yes","no")</f>
        <v>yes</v>
      </c>
      <c r="K69" s="6" t="str">
        <f t="shared" si="3"/>
        <v>no</v>
      </c>
      <c r="L69" s="6" t="str">
        <f>IF(COUNTIF('raw data'!$B$2:$B$501,B69)&gt;1,"Yes","No")</f>
        <v>Yes</v>
      </c>
      <c r="M69" t="str">
        <f t="shared" si="4"/>
        <v>no</v>
      </c>
      <c r="N69" t="str">
        <f t="shared" si="5"/>
        <v>Yes</v>
      </c>
      <c r="O69">
        <f>SUMIF('raw data'!B$2:B$501,B69,'raw data'!I$2:I$501)</f>
        <v>1813.4</v>
      </c>
      <c r="P69" t="str">
        <f>IF(OR(I69&lt;Visualization!$B$6,I69&gt;Visualization!$B$7),"Outlier","Normal")</f>
        <v>Outlier</v>
      </c>
    </row>
    <row r="70" spans="1:16" x14ac:dyDescent="0.35">
      <c r="A70" s="6" t="s">
        <v>77</v>
      </c>
      <c r="B70" s="15">
        <v>45117</v>
      </c>
      <c r="C70" s="6" t="s">
        <v>556</v>
      </c>
      <c r="D70" s="6" t="s">
        <v>609</v>
      </c>
      <c r="E70" s="6" t="s">
        <v>663</v>
      </c>
      <c r="F70" s="6">
        <v>4</v>
      </c>
      <c r="G70" s="6">
        <v>999</v>
      </c>
      <c r="H70" s="6">
        <v>20</v>
      </c>
      <c r="I70" s="6">
        <v>3196.8</v>
      </c>
      <c r="J70" s="6" t="str">
        <f>IF(I70&gt;formulas!$B$5,"yes","no")</f>
        <v>yes</v>
      </c>
      <c r="K70" s="6" t="str">
        <f t="shared" si="3"/>
        <v>yes</v>
      </c>
      <c r="L70" s="6" t="str">
        <f>IF(COUNTIF('raw data'!$B$2:$B$501,B70)&gt;1,"Yes","No")</f>
        <v>Yes</v>
      </c>
      <c r="M70" t="str">
        <f t="shared" si="4"/>
        <v>yes</v>
      </c>
      <c r="N70" t="str">
        <f t="shared" si="5"/>
        <v>Yes</v>
      </c>
      <c r="O70">
        <f>SUMIF('raw data'!B$2:B$501,B70,'raw data'!I$2:I$501)</f>
        <v>3196.8</v>
      </c>
      <c r="P70" t="str">
        <f>IF(OR(I70&lt;Visualization!$B$6,I70&gt;Visualization!$B$7),"Outlier","Normal")</f>
        <v>Outlier</v>
      </c>
    </row>
    <row r="71" spans="1:16" x14ac:dyDescent="0.35">
      <c r="A71" s="6" t="s">
        <v>78</v>
      </c>
      <c r="B71" s="15">
        <v>45144</v>
      </c>
      <c r="C71" s="6" t="s">
        <v>557</v>
      </c>
      <c r="D71" s="6" t="s">
        <v>609</v>
      </c>
      <c r="E71" s="6" t="s">
        <v>664</v>
      </c>
      <c r="F71" s="6">
        <v>3</v>
      </c>
      <c r="G71" s="6">
        <v>199</v>
      </c>
      <c r="H71" s="6">
        <v>20</v>
      </c>
      <c r="I71" s="6">
        <v>477.6</v>
      </c>
      <c r="J71" s="6" t="str">
        <f>IF(I71&gt;formulas!$B$5,"yes","no")</f>
        <v>no</v>
      </c>
      <c r="K71" s="6" t="str">
        <f t="shared" si="3"/>
        <v>yes</v>
      </c>
      <c r="L71" s="6" t="str">
        <f>IF(COUNTIF('raw data'!$B$2:$B$501,B71)&gt;1,"Yes","No")</f>
        <v>Yes</v>
      </c>
      <c r="M71" t="str">
        <f t="shared" si="4"/>
        <v>yes</v>
      </c>
      <c r="N71" t="str">
        <f t="shared" si="5"/>
        <v>No</v>
      </c>
      <c r="O71">
        <f>SUMIF('raw data'!B$2:B$501,B71,'raw data'!I$2:I$501)</f>
        <v>6171.7</v>
      </c>
      <c r="P71" t="str">
        <f>IF(OR(I71&lt;Visualization!$B$6,I71&gt;Visualization!$B$7),"Outlier","Normal")</f>
        <v>Outlier</v>
      </c>
    </row>
    <row r="72" spans="1:16" x14ac:dyDescent="0.35">
      <c r="A72" s="6" t="s">
        <v>79</v>
      </c>
      <c r="B72" s="15">
        <v>44970</v>
      </c>
      <c r="C72" s="6" t="s">
        <v>553</v>
      </c>
      <c r="D72" s="6" t="s">
        <v>612</v>
      </c>
      <c r="E72" s="6" t="s">
        <v>628</v>
      </c>
      <c r="F72" s="6">
        <v>3</v>
      </c>
      <c r="G72" s="6">
        <v>1999</v>
      </c>
      <c r="H72" s="6">
        <v>15</v>
      </c>
      <c r="I72" s="6">
        <v>5097.45</v>
      </c>
      <c r="J72" s="6" t="str">
        <f>IF(I72&gt;formulas!$B$5,"yes","no")</f>
        <v>yes</v>
      </c>
      <c r="K72" s="6" t="str">
        <f t="shared" si="3"/>
        <v>yes</v>
      </c>
      <c r="L72" s="6" t="str">
        <f>IF(COUNTIF('raw data'!$B$2:$B$501,B72)&gt;1,"Yes","No")</f>
        <v>Yes</v>
      </c>
      <c r="M72" t="str">
        <f t="shared" si="4"/>
        <v>no</v>
      </c>
      <c r="N72" t="str">
        <f t="shared" si="5"/>
        <v>Yes</v>
      </c>
      <c r="O72">
        <f>SUMIF('raw data'!B$2:B$501,B72,'raw data'!I$2:I$501)</f>
        <v>5995.65</v>
      </c>
      <c r="P72" t="str">
        <f>IF(OR(I72&lt;Visualization!$B$6,I72&gt;Visualization!$B$7),"Outlier","Normal")</f>
        <v>Outlier</v>
      </c>
    </row>
    <row r="73" spans="1:16" x14ac:dyDescent="0.35">
      <c r="A73" s="6" t="s">
        <v>80</v>
      </c>
      <c r="B73" s="15">
        <v>45088</v>
      </c>
      <c r="C73" s="6" t="s">
        <v>513</v>
      </c>
      <c r="D73" s="6" t="s">
        <v>610</v>
      </c>
      <c r="E73" s="6" t="s">
        <v>642</v>
      </c>
      <c r="F73" s="6">
        <v>2</v>
      </c>
      <c r="G73" s="6">
        <v>499</v>
      </c>
      <c r="H73" s="6">
        <v>0</v>
      </c>
      <c r="I73" s="6">
        <v>998</v>
      </c>
      <c r="J73" s="6" t="str">
        <f>IF(I73&gt;formulas!$B$5,"yes","no")</f>
        <v>no</v>
      </c>
      <c r="K73" s="6" t="str">
        <f t="shared" si="3"/>
        <v>no</v>
      </c>
      <c r="L73" s="6" t="str">
        <f>IF(COUNTIF('raw data'!$B$2:$B$501,B73)&gt;1,"Yes","No")</f>
        <v>No</v>
      </c>
      <c r="M73" t="str">
        <f t="shared" si="4"/>
        <v>no</v>
      </c>
      <c r="N73" t="str">
        <f t="shared" si="5"/>
        <v>No</v>
      </c>
      <c r="O73">
        <f>SUMIF('raw data'!B$2:B$501,B73,'raw data'!I$2:I$501)</f>
        <v>998</v>
      </c>
      <c r="P73" t="str">
        <f>IF(OR(I73&lt;Visualization!$B$6,I73&gt;Visualization!$B$7),"Outlier","Normal")</f>
        <v>Outlier</v>
      </c>
    </row>
    <row r="74" spans="1:16" x14ac:dyDescent="0.35">
      <c r="A74" s="6" t="s">
        <v>81</v>
      </c>
      <c r="B74" s="15">
        <v>45128</v>
      </c>
      <c r="C74" s="6" t="s">
        <v>543</v>
      </c>
      <c r="D74" s="6" t="s">
        <v>611</v>
      </c>
      <c r="E74" s="6" t="s">
        <v>624</v>
      </c>
      <c r="F74" s="6">
        <v>1</v>
      </c>
      <c r="G74" s="6">
        <v>499</v>
      </c>
      <c r="H74" s="6"/>
      <c r="I74" s="6">
        <v>499</v>
      </c>
      <c r="J74" s="6" t="str">
        <f>IF(I74&gt;formulas!$B$5,"yes","no")</f>
        <v>no</v>
      </c>
      <c r="K74" s="6" t="str">
        <f t="shared" si="3"/>
        <v>no</v>
      </c>
      <c r="L74" s="6" t="str">
        <f>IF(COUNTIF('raw data'!$B$2:$B$501,B74)&gt;1,"Yes","No")</f>
        <v>No</v>
      </c>
      <c r="M74" t="str">
        <f t="shared" si="4"/>
        <v>no</v>
      </c>
      <c r="N74" t="str">
        <f t="shared" si="5"/>
        <v>No</v>
      </c>
      <c r="O74">
        <f>SUMIF('raw data'!B$2:B$501,B74,'raw data'!I$2:I$501)</f>
        <v>499</v>
      </c>
      <c r="P74" t="str">
        <f>IF(OR(I74&lt;Visualization!$B$6,I74&gt;Visualization!$B$7),"Outlier","Normal")</f>
        <v>Outlier</v>
      </c>
    </row>
    <row r="75" spans="1:16" x14ac:dyDescent="0.35">
      <c r="A75" s="6" t="s">
        <v>82</v>
      </c>
      <c r="B75" s="15">
        <v>45196</v>
      </c>
      <c r="C75" s="6" t="s">
        <v>558</v>
      </c>
      <c r="D75" s="6" t="s">
        <v>613</v>
      </c>
      <c r="E75" s="6" t="s">
        <v>614</v>
      </c>
      <c r="F75" s="6">
        <v>3</v>
      </c>
      <c r="G75" s="6">
        <v>1499</v>
      </c>
      <c r="H75" s="6">
        <v>0</v>
      </c>
      <c r="I75" s="6">
        <v>4497</v>
      </c>
      <c r="J75" s="6" t="str">
        <f>IF(I75&gt;formulas!$B$5,"yes","no")</f>
        <v>yes</v>
      </c>
      <c r="K75" s="6" t="str">
        <f t="shared" si="3"/>
        <v>no</v>
      </c>
      <c r="L75" s="6" t="str">
        <f>IF(COUNTIF('raw data'!$B$2:$B$501,B75)&gt;1,"Yes","No")</f>
        <v>No</v>
      </c>
      <c r="M75" t="str">
        <f t="shared" si="4"/>
        <v>no</v>
      </c>
      <c r="N75" t="str">
        <f t="shared" si="5"/>
        <v>No</v>
      </c>
      <c r="O75">
        <f>SUMIF('raw data'!B$2:B$501,B75,'raw data'!I$2:I$501)</f>
        <v>4497</v>
      </c>
      <c r="P75" t="str">
        <f>IF(OR(I75&lt;Visualization!$B$6,I75&gt;Visualization!$B$7),"Outlier","Normal")</f>
        <v>Outlier</v>
      </c>
    </row>
    <row r="76" spans="1:16" x14ac:dyDescent="0.35">
      <c r="A76" s="6" t="s">
        <v>83</v>
      </c>
      <c r="B76" s="15">
        <v>45277</v>
      </c>
      <c r="C76" s="6" t="s">
        <v>528</v>
      </c>
      <c r="D76" s="6" t="s">
        <v>612</v>
      </c>
      <c r="E76" s="6" t="s">
        <v>627</v>
      </c>
      <c r="F76" s="6">
        <v>2</v>
      </c>
      <c r="G76" s="6">
        <v>199</v>
      </c>
      <c r="H76" s="6">
        <v>0</v>
      </c>
      <c r="I76" s="6">
        <v>398</v>
      </c>
      <c r="J76" s="6" t="str">
        <f>IF(I76&gt;formulas!$B$5,"yes","no")</f>
        <v>no</v>
      </c>
      <c r="K76" s="6" t="str">
        <f t="shared" si="3"/>
        <v>no</v>
      </c>
      <c r="L76" s="6" t="str">
        <f>IF(COUNTIF('raw data'!$B$2:$B$501,B76)&gt;1,"Yes","No")</f>
        <v>No</v>
      </c>
      <c r="M76" t="str">
        <f t="shared" si="4"/>
        <v>no</v>
      </c>
      <c r="N76" t="str">
        <f t="shared" si="5"/>
        <v>No</v>
      </c>
      <c r="O76">
        <f>SUMIF('raw data'!B$2:B$501,B76,'raw data'!I$2:I$501)</f>
        <v>398</v>
      </c>
      <c r="P76" t="str">
        <f>IF(OR(I76&lt;Visualization!$B$6,I76&gt;Visualization!$B$7),"Outlier","Normal")</f>
        <v>Outlier</v>
      </c>
    </row>
    <row r="77" spans="1:16" x14ac:dyDescent="0.35">
      <c r="A77" s="6" t="s">
        <v>84</v>
      </c>
      <c r="B77" s="15">
        <v>45230</v>
      </c>
      <c r="C77" s="6" t="s">
        <v>559</v>
      </c>
      <c r="D77" s="6" t="s">
        <v>611</v>
      </c>
      <c r="E77" s="6" t="s">
        <v>623</v>
      </c>
      <c r="F77" s="6">
        <v>4</v>
      </c>
      <c r="G77" s="6">
        <v>1499</v>
      </c>
      <c r="H77" s="6">
        <v>15</v>
      </c>
      <c r="I77" s="6">
        <v>5096.5999999999995</v>
      </c>
      <c r="J77" s="6" t="str">
        <f>IF(I77&gt;formulas!$B$5,"yes","no")</f>
        <v>yes</v>
      </c>
      <c r="K77" s="6" t="str">
        <f t="shared" si="3"/>
        <v>yes</v>
      </c>
      <c r="L77" s="6" t="str">
        <f>IF(COUNTIF('raw data'!$B$2:$B$501,B77)&gt;1,"Yes","No")</f>
        <v>Yes</v>
      </c>
      <c r="M77" t="str">
        <f t="shared" si="4"/>
        <v>no</v>
      </c>
      <c r="N77" t="str">
        <f t="shared" si="5"/>
        <v>Yes</v>
      </c>
      <c r="O77">
        <f>SUMIF('raw data'!B$2:B$501,B77,'raw data'!I$2:I$501)</f>
        <v>14386.9</v>
      </c>
      <c r="P77" t="str">
        <f>IF(OR(I77&lt;Visualization!$B$6,I77&gt;Visualization!$B$7),"Outlier","Normal")</f>
        <v>Outlier</v>
      </c>
    </row>
    <row r="78" spans="1:16" x14ac:dyDescent="0.35">
      <c r="A78" s="6" t="s">
        <v>85</v>
      </c>
      <c r="B78" s="15">
        <v>45197</v>
      </c>
      <c r="C78" s="6" t="s">
        <v>560</v>
      </c>
      <c r="D78" s="6" t="s">
        <v>612</v>
      </c>
      <c r="E78" s="6" t="s">
        <v>663</v>
      </c>
      <c r="F78" s="6"/>
      <c r="G78" s="6">
        <v>199</v>
      </c>
      <c r="H78" s="6">
        <v>0</v>
      </c>
      <c r="I78" s="6"/>
      <c r="J78" s="6" t="str">
        <f>IF(I78&gt;formulas!$B$5,"yes","no")</f>
        <v>no</v>
      </c>
      <c r="K78" s="6" t="str">
        <f t="shared" si="3"/>
        <v>no</v>
      </c>
      <c r="L78" s="6" t="str">
        <f>IF(COUNTIF('raw data'!$B$2:$B$501,B78)&gt;1,"Yes","No")</f>
        <v>Yes</v>
      </c>
      <c r="M78" t="str">
        <f t="shared" si="4"/>
        <v>no</v>
      </c>
      <c r="N78" t="str">
        <f t="shared" si="5"/>
        <v>No</v>
      </c>
      <c r="O78">
        <f>SUMIF('raw data'!B$2:B$501,B78,'raw data'!I$2:I$501)</f>
        <v>3556.6</v>
      </c>
      <c r="P78" t="str">
        <f>IF(OR(I78&lt;Visualization!$B$6,I78&gt;Visualization!$B$7),"Outlier","Normal")</f>
        <v>Normal</v>
      </c>
    </row>
    <row r="79" spans="1:16" x14ac:dyDescent="0.35">
      <c r="A79" s="6" t="s">
        <v>86</v>
      </c>
      <c r="B79" s="15">
        <v>45141</v>
      </c>
      <c r="C79" s="6" t="s">
        <v>549</v>
      </c>
      <c r="D79" s="6" t="s">
        <v>609</v>
      </c>
      <c r="E79" s="6" t="s">
        <v>665</v>
      </c>
      <c r="F79" s="6">
        <v>4</v>
      </c>
      <c r="G79" s="6">
        <v>299</v>
      </c>
      <c r="H79" s="6"/>
      <c r="I79" s="6">
        <v>1196</v>
      </c>
      <c r="J79" s="6" t="str">
        <f>IF(I79&gt;formulas!$B$5,"yes","no")</f>
        <v>no</v>
      </c>
      <c r="K79" s="6" t="str">
        <f t="shared" si="3"/>
        <v>no</v>
      </c>
      <c r="L79" s="6" t="str">
        <f>IF(COUNTIF('raw data'!$B$2:$B$501,B79)&gt;1,"Yes","No")</f>
        <v>Yes</v>
      </c>
      <c r="M79" t="str">
        <f t="shared" si="4"/>
        <v>no</v>
      </c>
      <c r="N79" t="str">
        <f t="shared" si="5"/>
        <v>No</v>
      </c>
      <c r="O79">
        <f>SUMIF('raw data'!B$2:B$501,B79,'raw data'!I$2:I$501)</f>
        <v>4252.3999999999996</v>
      </c>
      <c r="P79" t="str">
        <f>IF(OR(I79&lt;Visualization!$B$6,I79&gt;Visualization!$B$7),"Outlier","Normal")</f>
        <v>Outlier</v>
      </c>
    </row>
    <row r="80" spans="1:16" x14ac:dyDescent="0.35">
      <c r="A80" s="6" t="s">
        <v>87</v>
      </c>
      <c r="B80" s="15">
        <v>45178</v>
      </c>
      <c r="C80" s="6" t="s">
        <v>561</v>
      </c>
      <c r="D80" s="6" t="s">
        <v>613</v>
      </c>
      <c r="E80" s="6" t="s">
        <v>632</v>
      </c>
      <c r="F80" s="6">
        <v>1</v>
      </c>
      <c r="G80" s="6">
        <v>1999</v>
      </c>
      <c r="H80" s="6">
        <v>10</v>
      </c>
      <c r="I80" s="6">
        <v>1799.1</v>
      </c>
      <c r="J80" s="6" t="str">
        <f>IF(I80&gt;formulas!$B$5,"yes","no")</f>
        <v>yes</v>
      </c>
      <c r="K80" s="6" t="str">
        <f t="shared" si="3"/>
        <v>yes</v>
      </c>
      <c r="L80" s="6" t="str">
        <f>IF(COUNTIF('raw data'!$B$2:$B$501,B80)&gt;1,"Yes","No")</f>
        <v>Yes</v>
      </c>
      <c r="M80" t="str">
        <f t="shared" si="4"/>
        <v>no</v>
      </c>
      <c r="N80" t="str">
        <f t="shared" si="5"/>
        <v>Yes</v>
      </c>
      <c r="O80">
        <f>SUMIF('raw data'!B$2:B$501,B80,'raw data'!I$2:I$501)</f>
        <v>3694.7</v>
      </c>
      <c r="P80" t="str">
        <f>IF(OR(I80&lt;Visualization!$B$6,I80&gt;Visualization!$B$7),"Outlier","Normal")</f>
        <v>Outlier</v>
      </c>
    </row>
    <row r="81" spans="1:16" x14ac:dyDescent="0.35">
      <c r="A81" s="6" t="s">
        <v>88</v>
      </c>
      <c r="B81" s="15">
        <v>45116</v>
      </c>
      <c r="C81" s="6" t="s">
        <v>515</v>
      </c>
      <c r="D81" s="6" t="s">
        <v>611</v>
      </c>
      <c r="E81" s="6" t="s">
        <v>642</v>
      </c>
      <c r="F81" s="6">
        <v>1</v>
      </c>
      <c r="G81" s="6">
        <v>499</v>
      </c>
      <c r="H81" s="6">
        <v>20</v>
      </c>
      <c r="I81" s="6">
        <v>399.2</v>
      </c>
      <c r="J81" s="6" t="str">
        <f>IF(I81&gt;formulas!$B$5,"yes","no")</f>
        <v>no</v>
      </c>
      <c r="K81" s="6" t="str">
        <f t="shared" si="3"/>
        <v>yes</v>
      </c>
      <c r="L81" s="6" t="str">
        <f>IF(COUNTIF('raw data'!$B$2:$B$501,B81)&gt;1,"Yes","No")</f>
        <v>Yes</v>
      </c>
      <c r="M81" t="str">
        <f t="shared" si="4"/>
        <v>yes</v>
      </c>
      <c r="N81" t="str">
        <f t="shared" si="5"/>
        <v>No</v>
      </c>
      <c r="O81">
        <f>SUMIF('raw data'!B$2:B$501,B81,'raw data'!I$2:I$501)</f>
        <v>6729</v>
      </c>
      <c r="P81" t="str">
        <f>IF(OR(I81&lt;Visualization!$B$6,I81&gt;Visualization!$B$7),"Outlier","Normal")</f>
        <v>Outlier</v>
      </c>
    </row>
    <row r="82" spans="1:16" x14ac:dyDescent="0.35">
      <c r="A82" s="6" t="s">
        <v>89</v>
      </c>
      <c r="B82" s="15">
        <v>45222</v>
      </c>
      <c r="C82" s="6" t="s">
        <v>519</v>
      </c>
      <c r="D82" s="6" t="s">
        <v>611</v>
      </c>
      <c r="E82" s="6" t="s">
        <v>666</v>
      </c>
      <c r="F82" s="6">
        <v>1</v>
      </c>
      <c r="G82" s="6">
        <v>499</v>
      </c>
      <c r="H82" s="6">
        <v>10</v>
      </c>
      <c r="I82" s="6">
        <v>449.1</v>
      </c>
      <c r="J82" s="6" t="str">
        <f>IF(I82&gt;formulas!$B$5,"yes","no")</f>
        <v>no</v>
      </c>
      <c r="K82" s="6" t="str">
        <f t="shared" si="3"/>
        <v>yes</v>
      </c>
      <c r="L82" s="6" t="str">
        <f>IF(COUNTIF('raw data'!$B$2:$B$501,B82)&gt;1,"Yes","No")</f>
        <v>No</v>
      </c>
      <c r="M82" t="str">
        <f t="shared" si="4"/>
        <v>no</v>
      </c>
      <c r="N82" t="str">
        <f t="shared" si="5"/>
        <v>No</v>
      </c>
      <c r="O82">
        <f>SUMIF('raw data'!B$2:B$501,B82,'raw data'!I$2:I$501)</f>
        <v>449.1</v>
      </c>
      <c r="P82" t="str">
        <f>IF(OR(I82&lt;Visualization!$B$6,I82&gt;Visualization!$B$7),"Outlier","Normal")</f>
        <v>Outlier</v>
      </c>
    </row>
    <row r="83" spans="1:16" x14ac:dyDescent="0.35">
      <c r="A83" s="6" t="s">
        <v>90</v>
      </c>
      <c r="B83" s="15">
        <v>45139</v>
      </c>
      <c r="C83" s="6" t="s">
        <v>560</v>
      </c>
      <c r="D83" s="6" t="s">
        <v>611</v>
      </c>
      <c r="E83" s="6" t="s">
        <v>638</v>
      </c>
      <c r="F83" s="6">
        <v>3</v>
      </c>
      <c r="G83" s="6">
        <v>299</v>
      </c>
      <c r="H83" s="6">
        <v>0</v>
      </c>
      <c r="I83" s="6">
        <v>897</v>
      </c>
      <c r="J83" s="6" t="str">
        <f>IF(I83&gt;formulas!$B$5,"yes","no")</f>
        <v>no</v>
      </c>
      <c r="K83" s="6" t="str">
        <f t="shared" si="3"/>
        <v>no</v>
      </c>
      <c r="L83" s="6" t="str">
        <f>IF(COUNTIF('raw data'!$B$2:$B$501,B83)&gt;1,"Yes","No")</f>
        <v>No</v>
      </c>
      <c r="M83" t="str">
        <f t="shared" si="4"/>
        <v>no</v>
      </c>
      <c r="N83" t="str">
        <f t="shared" si="5"/>
        <v>No</v>
      </c>
      <c r="O83">
        <f>SUMIF('raw data'!B$2:B$501,B83,'raw data'!I$2:I$501)</f>
        <v>897</v>
      </c>
      <c r="P83" t="str">
        <f>IF(OR(I83&lt;Visualization!$B$6,I83&gt;Visualization!$B$7),"Outlier","Normal")</f>
        <v>Outlier</v>
      </c>
    </row>
    <row r="84" spans="1:16" x14ac:dyDescent="0.35">
      <c r="A84" s="6" t="s">
        <v>91</v>
      </c>
      <c r="B84" s="15">
        <v>45134</v>
      </c>
      <c r="C84" s="6" t="s">
        <v>562</v>
      </c>
      <c r="D84" s="6" t="s">
        <v>611</v>
      </c>
      <c r="E84" s="6" t="s">
        <v>667</v>
      </c>
      <c r="F84" s="6">
        <v>4</v>
      </c>
      <c r="G84" s="6"/>
      <c r="H84" s="6">
        <v>10</v>
      </c>
      <c r="I84" s="6"/>
      <c r="J84" s="6" t="str">
        <f>IF(I84&gt;formulas!$B$5,"yes","no")</f>
        <v>no</v>
      </c>
      <c r="K84" s="6" t="str">
        <f t="shared" si="3"/>
        <v>yes</v>
      </c>
      <c r="L84" s="6" t="str">
        <f>IF(COUNTIF('raw data'!$B$2:$B$501,B84)&gt;1,"Yes","No")</f>
        <v>Yes</v>
      </c>
      <c r="M84" t="str">
        <f t="shared" si="4"/>
        <v>no</v>
      </c>
      <c r="N84" t="str">
        <f t="shared" si="5"/>
        <v>No</v>
      </c>
      <c r="O84">
        <f>SUMIF('raw data'!B$2:B$501,B84,'raw data'!I$2:I$501)</f>
        <v>1225.9000000000001</v>
      </c>
      <c r="P84" t="str">
        <f>IF(OR(I84&lt;Visualization!$B$6,I84&gt;Visualization!$B$7),"Outlier","Normal")</f>
        <v>Normal</v>
      </c>
    </row>
    <row r="85" spans="1:16" x14ac:dyDescent="0.35">
      <c r="A85" s="6" t="s">
        <v>92</v>
      </c>
      <c r="B85" s="15">
        <v>45163</v>
      </c>
      <c r="C85" s="6" t="s">
        <v>563</v>
      </c>
      <c r="D85" s="6" t="s">
        <v>611</v>
      </c>
      <c r="E85" s="6" t="s">
        <v>618</v>
      </c>
      <c r="F85" s="6">
        <v>5</v>
      </c>
      <c r="G85" s="6">
        <v>1999</v>
      </c>
      <c r="H85" s="6"/>
      <c r="I85" s="6">
        <v>9995</v>
      </c>
      <c r="J85" s="6" t="str">
        <f>IF(I85&gt;formulas!$B$5,"yes","no")</f>
        <v>yes</v>
      </c>
      <c r="K85" s="6" t="str">
        <f t="shared" si="3"/>
        <v>no</v>
      </c>
      <c r="L85" s="6" t="str">
        <f>IF(COUNTIF('raw data'!$B$2:$B$501,B85)&gt;1,"Yes","No")</f>
        <v>Yes</v>
      </c>
      <c r="M85" t="str">
        <f t="shared" si="4"/>
        <v>no</v>
      </c>
      <c r="N85" t="str">
        <f t="shared" si="5"/>
        <v>Yes</v>
      </c>
      <c r="O85">
        <f>SUMIF('raw data'!B$2:B$501,B85,'raw data'!I$2:I$501)</f>
        <v>17212.349999999999</v>
      </c>
      <c r="P85" t="str">
        <f>IF(OR(I85&lt;Visualization!$B$6,I85&gt;Visualization!$B$7),"Outlier","Normal")</f>
        <v>Outlier</v>
      </c>
    </row>
    <row r="86" spans="1:16" x14ac:dyDescent="0.35">
      <c r="A86" s="6" t="s">
        <v>93</v>
      </c>
      <c r="B86" s="15">
        <v>45264</v>
      </c>
      <c r="C86" s="6" t="s">
        <v>564</v>
      </c>
      <c r="D86" s="6" t="s">
        <v>612</v>
      </c>
      <c r="E86" s="6" t="s">
        <v>615</v>
      </c>
      <c r="F86" s="6">
        <v>2</v>
      </c>
      <c r="G86" s="6">
        <v>1499</v>
      </c>
      <c r="H86" s="6"/>
      <c r="I86" s="6">
        <v>2998</v>
      </c>
      <c r="J86" s="6" t="str">
        <f>IF(I86&gt;formulas!$B$5,"yes","no")</f>
        <v>yes</v>
      </c>
      <c r="K86" s="6" t="str">
        <f t="shared" si="3"/>
        <v>no</v>
      </c>
      <c r="L86" s="6" t="str">
        <f>IF(COUNTIF('raw data'!$B$2:$B$501,B86)&gt;1,"Yes","No")</f>
        <v>Yes</v>
      </c>
      <c r="M86" t="str">
        <f t="shared" si="4"/>
        <v>no</v>
      </c>
      <c r="N86" t="str">
        <f t="shared" si="5"/>
        <v>Yes</v>
      </c>
      <c r="O86">
        <f>SUMIF('raw data'!B$2:B$501,B86,'raw data'!I$2:I$501)</f>
        <v>3805.3</v>
      </c>
      <c r="P86" t="str">
        <f>IF(OR(I86&lt;Visualization!$B$6,I86&gt;Visualization!$B$7),"Outlier","Normal")</f>
        <v>Outlier</v>
      </c>
    </row>
    <row r="87" spans="1:16" x14ac:dyDescent="0.35">
      <c r="A87" s="6" t="s">
        <v>94</v>
      </c>
      <c r="B87" s="15">
        <v>44979</v>
      </c>
      <c r="C87" s="6" t="s">
        <v>565</v>
      </c>
      <c r="D87" s="6" t="s">
        <v>613</v>
      </c>
      <c r="E87" s="6" t="s">
        <v>668</v>
      </c>
      <c r="F87" s="6">
        <v>5</v>
      </c>
      <c r="G87" s="6">
        <v>299</v>
      </c>
      <c r="H87" s="6">
        <v>0</v>
      </c>
      <c r="I87" s="6">
        <v>1495</v>
      </c>
      <c r="J87" s="6" t="str">
        <f>IF(I87&gt;formulas!$B$5,"yes","no")</f>
        <v>yes</v>
      </c>
      <c r="K87" s="6" t="str">
        <f t="shared" si="3"/>
        <v>no</v>
      </c>
      <c r="L87" s="6" t="str">
        <f>IF(COUNTIF('raw data'!$B$2:$B$501,B87)&gt;1,"Yes","No")</f>
        <v>Yes</v>
      </c>
      <c r="M87" t="str">
        <f t="shared" si="4"/>
        <v>no</v>
      </c>
      <c r="N87" t="str">
        <f t="shared" si="5"/>
        <v>Yes</v>
      </c>
      <c r="O87">
        <f>SUMIF('raw data'!B$2:B$501,B87,'raw data'!I$2:I$501)</f>
        <v>3531.3</v>
      </c>
      <c r="P87" t="str">
        <f>IF(OR(I87&lt;Visualization!$B$6,I87&gt;Visualization!$B$7),"Outlier","Normal")</f>
        <v>Outlier</v>
      </c>
    </row>
    <row r="88" spans="1:16" x14ac:dyDescent="0.35">
      <c r="A88" s="6" t="s">
        <v>95</v>
      </c>
      <c r="B88" s="15">
        <v>45206</v>
      </c>
      <c r="C88" s="6" t="s">
        <v>566</v>
      </c>
      <c r="D88" s="6" t="s">
        <v>609</v>
      </c>
      <c r="E88" s="6" t="s">
        <v>666</v>
      </c>
      <c r="F88" s="6">
        <v>4</v>
      </c>
      <c r="G88" s="6">
        <v>1499</v>
      </c>
      <c r="H88" s="6">
        <v>15</v>
      </c>
      <c r="I88" s="6">
        <v>5096.5999999999995</v>
      </c>
      <c r="J88" s="6" t="str">
        <f>IF(I88&gt;formulas!$B$5,"yes","no")</f>
        <v>yes</v>
      </c>
      <c r="K88" s="6" t="str">
        <f t="shared" si="3"/>
        <v>yes</v>
      </c>
      <c r="L88" s="6" t="str">
        <f>IF(COUNTIF('raw data'!$B$2:$B$501,B88)&gt;1,"Yes","No")</f>
        <v>Yes</v>
      </c>
      <c r="M88" t="str">
        <f t="shared" si="4"/>
        <v>no</v>
      </c>
      <c r="N88" t="str">
        <f t="shared" si="5"/>
        <v>Yes</v>
      </c>
      <c r="O88">
        <f>SUMIF('raw data'!B$2:B$501,B88,'raw data'!I$2:I$501)</f>
        <v>8893.6999999999989</v>
      </c>
      <c r="P88" t="str">
        <f>IF(OR(I88&lt;Visualization!$B$6,I88&gt;Visualization!$B$7),"Outlier","Normal")</f>
        <v>Outlier</v>
      </c>
    </row>
    <row r="89" spans="1:16" x14ac:dyDescent="0.35">
      <c r="A89" s="6" t="s">
        <v>96</v>
      </c>
      <c r="B89" s="15">
        <v>45143</v>
      </c>
      <c r="C89" s="6" t="s">
        <v>529</v>
      </c>
      <c r="D89" s="6" t="s">
        <v>609</v>
      </c>
      <c r="E89" s="6" t="s">
        <v>626</v>
      </c>
      <c r="F89" s="6">
        <v>2</v>
      </c>
      <c r="G89" s="6">
        <v>999</v>
      </c>
      <c r="H89" s="6">
        <v>10</v>
      </c>
      <c r="I89" s="6">
        <v>1798.2</v>
      </c>
      <c r="J89" s="6" t="str">
        <f>IF(I89&gt;formulas!$B$5,"yes","no")</f>
        <v>yes</v>
      </c>
      <c r="K89" s="6" t="str">
        <f t="shared" si="3"/>
        <v>yes</v>
      </c>
      <c r="L89" s="6" t="str">
        <f>IF(COUNTIF('raw data'!$B$2:$B$501,B89)&gt;1,"Yes","No")</f>
        <v>No</v>
      </c>
      <c r="M89" t="str">
        <f t="shared" si="4"/>
        <v>no</v>
      </c>
      <c r="N89" t="str">
        <f t="shared" si="5"/>
        <v>No</v>
      </c>
      <c r="O89">
        <f>SUMIF('raw data'!B$2:B$501,B89,'raw data'!I$2:I$501)</f>
        <v>1798.2</v>
      </c>
      <c r="P89" t="str">
        <f>IF(OR(I89&lt;Visualization!$B$6,I89&gt;Visualization!$B$7),"Outlier","Normal")</f>
        <v>Outlier</v>
      </c>
    </row>
    <row r="90" spans="1:16" x14ac:dyDescent="0.35">
      <c r="A90" s="6" t="s">
        <v>97</v>
      </c>
      <c r="B90" s="15">
        <v>45178</v>
      </c>
      <c r="C90" s="6" t="s">
        <v>567</v>
      </c>
      <c r="D90" s="6" t="s">
        <v>609</v>
      </c>
      <c r="E90" s="6" t="s">
        <v>669</v>
      </c>
      <c r="F90" s="6">
        <v>4</v>
      </c>
      <c r="G90" s="6">
        <v>499</v>
      </c>
      <c r="H90" s="6">
        <v>15</v>
      </c>
      <c r="I90" s="6">
        <v>1696.6</v>
      </c>
      <c r="J90" s="6" t="str">
        <f>IF(I90&gt;formulas!$B$5,"yes","no")</f>
        <v>yes</v>
      </c>
      <c r="K90" s="6" t="str">
        <f t="shared" si="3"/>
        <v>yes</v>
      </c>
      <c r="L90" s="6" t="str">
        <f>IF(COUNTIF('raw data'!$B$2:$B$501,B90)&gt;1,"Yes","No")</f>
        <v>Yes</v>
      </c>
      <c r="M90" t="str">
        <f t="shared" si="4"/>
        <v>no</v>
      </c>
      <c r="N90" t="str">
        <f t="shared" si="5"/>
        <v>Yes</v>
      </c>
      <c r="O90">
        <f>SUMIF('raw data'!B$2:B$501,B90,'raw data'!I$2:I$501)</f>
        <v>3694.7</v>
      </c>
      <c r="P90" t="str">
        <f>IF(OR(I90&lt;Visualization!$B$6,I90&gt;Visualization!$B$7),"Outlier","Normal")</f>
        <v>Outlier</v>
      </c>
    </row>
    <row r="91" spans="1:16" x14ac:dyDescent="0.35">
      <c r="A91" s="6" t="s">
        <v>98</v>
      </c>
      <c r="B91" s="15">
        <v>45114</v>
      </c>
      <c r="C91" s="6" t="s">
        <v>568</v>
      </c>
      <c r="D91" s="6" t="s">
        <v>609</v>
      </c>
      <c r="E91" s="6" t="s">
        <v>670</v>
      </c>
      <c r="F91" s="6">
        <v>2</v>
      </c>
      <c r="G91" s="6">
        <v>1499</v>
      </c>
      <c r="H91" s="6">
        <v>15</v>
      </c>
      <c r="I91" s="6">
        <v>2548.3000000000002</v>
      </c>
      <c r="J91" s="6" t="str">
        <f>IF(I91&gt;formulas!$B$5,"yes","no")</f>
        <v>yes</v>
      </c>
      <c r="K91" s="6" t="str">
        <f t="shared" si="3"/>
        <v>yes</v>
      </c>
      <c r="L91" s="6" t="str">
        <f>IF(COUNTIF('raw data'!$B$2:$B$501,B91)&gt;1,"Yes","No")</f>
        <v>Yes</v>
      </c>
      <c r="M91" t="str">
        <f t="shared" si="4"/>
        <v>no</v>
      </c>
      <c r="N91" t="str">
        <f t="shared" si="5"/>
        <v>Yes</v>
      </c>
      <c r="O91">
        <f>SUMIF('raw data'!B$2:B$501,B91,'raw data'!I$2:I$501)</f>
        <v>6794.9000000000005</v>
      </c>
      <c r="P91" t="str">
        <f>IF(OR(I91&lt;Visualization!$B$6,I91&gt;Visualization!$B$7),"Outlier","Normal")</f>
        <v>Outlier</v>
      </c>
    </row>
    <row r="92" spans="1:16" x14ac:dyDescent="0.35">
      <c r="A92" s="6" t="s">
        <v>99</v>
      </c>
      <c r="B92" s="15">
        <v>44967</v>
      </c>
      <c r="C92" s="6" t="s">
        <v>569</v>
      </c>
      <c r="D92" s="6" t="s">
        <v>612</v>
      </c>
      <c r="E92" s="6" t="s">
        <v>626</v>
      </c>
      <c r="F92" s="6">
        <v>1</v>
      </c>
      <c r="G92" s="6">
        <v>199</v>
      </c>
      <c r="H92" s="6">
        <v>5</v>
      </c>
      <c r="I92" s="6">
        <v>189.05</v>
      </c>
      <c r="J92" s="6" t="str">
        <f>IF(I92&gt;formulas!$B$5,"yes","no")</f>
        <v>no</v>
      </c>
      <c r="K92" s="6" t="str">
        <f t="shared" si="3"/>
        <v>yes</v>
      </c>
      <c r="L92" s="6" t="str">
        <f>IF(COUNTIF('raw data'!$B$2:$B$501,B92)&gt;1,"Yes","No")</f>
        <v>Yes</v>
      </c>
      <c r="M92" t="str">
        <f t="shared" si="4"/>
        <v>no</v>
      </c>
      <c r="N92" t="str">
        <f t="shared" si="5"/>
        <v>No</v>
      </c>
      <c r="O92">
        <f>SUMIF('raw data'!B$2:B$501,B92,'raw data'!I$2:I$501)</f>
        <v>189.05</v>
      </c>
      <c r="P92" t="str">
        <f>IF(OR(I92&lt;Visualization!$B$6,I92&gt;Visualization!$B$7),"Outlier","Normal")</f>
        <v>Outlier</v>
      </c>
    </row>
    <row r="93" spans="1:16" x14ac:dyDescent="0.35">
      <c r="A93" s="6" t="s">
        <v>100</v>
      </c>
      <c r="B93" s="15">
        <v>45083</v>
      </c>
      <c r="C93" s="6" t="s">
        <v>570</v>
      </c>
      <c r="D93" s="6" t="s">
        <v>610</v>
      </c>
      <c r="E93" s="6" t="s">
        <v>671</v>
      </c>
      <c r="F93" s="6">
        <v>3</v>
      </c>
      <c r="G93" s="6">
        <v>1499</v>
      </c>
      <c r="H93" s="6">
        <v>0</v>
      </c>
      <c r="I93" s="6">
        <v>4497</v>
      </c>
      <c r="J93" s="6" t="str">
        <f>IF(I93&gt;formulas!$B$5,"yes","no")</f>
        <v>yes</v>
      </c>
      <c r="K93" s="6" t="str">
        <f t="shared" si="3"/>
        <v>no</v>
      </c>
      <c r="L93" s="6" t="str">
        <f>IF(COUNTIF('raw data'!$B$2:$B$501,B93)&gt;1,"Yes","No")</f>
        <v>No</v>
      </c>
      <c r="M93" t="str">
        <f t="shared" si="4"/>
        <v>no</v>
      </c>
      <c r="N93" t="str">
        <f t="shared" si="5"/>
        <v>No</v>
      </c>
      <c r="O93">
        <f>SUMIF('raw data'!B$2:B$501,B93,'raw data'!I$2:I$501)</f>
        <v>4497</v>
      </c>
      <c r="P93" t="str">
        <f>IF(OR(I93&lt;Visualization!$B$6,I93&gt;Visualization!$B$7),"Outlier","Normal")</f>
        <v>Outlier</v>
      </c>
    </row>
    <row r="94" spans="1:16" x14ac:dyDescent="0.35">
      <c r="A94" s="6" t="s">
        <v>101</v>
      </c>
      <c r="B94" s="15">
        <v>44941</v>
      </c>
      <c r="C94" s="6" t="s">
        <v>548</v>
      </c>
      <c r="D94" s="6" t="s">
        <v>613</v>
      </c>
      <c r="E94" s="6" t="s">
        <v>664</v>
      </c>
      <c r="F94" s="6">
        <v>2</v>
      </c>
      <c r="G94" s="6">
        <v>999</v>
      </c>
      <c r="H94" s="6">
        <v>20</v>
      </c>
      <c r="I94" s="6">
        <v>1598.4</v>
      </c>
      <c r="J94" s="6" t="str">
        <f>IF(I94&gt;formulas!$B$5,"yes","no")</f>
        <v>yes</v>
      </c>
      <c r="K94" s="6" t="str">
        <f t="shared" si="3"/>
        <v>yes</v>
      </c>
      <c r="L94" s="6" t="str">
        <f>IF(COUNTIF('raw data'!$B$2:$B$501,B94)&gt;1,"Yes","No")</f>
        <v>Yes</v>
      </c>
      <c r="M94" t="str">
        <f t="shared" si="4"/>
        <v>yes</v>
      </c>
      <c r="N94" t="str">
        <f t="shared" si="5"/>
        <v>Yes</v>
      </c>
      <c r="O94">
        <f>SUMIF('raw data'!B$2:B$501,B94,'raw data'!I$2:I$501)</f>
        <v>2396.8000000000002</v>
      </c>
      <c r="P94" t="str">
        <f>IF(OR(I94&lt;Visualization!$B$6,I94&gt;Visualization!$B$7),"Outlier","Normal")</f>
        <v>Outlier</v>
      </c>
    </row>
    <row r="95" spans="1:16" x14ac:dyDescent="0.35">
      <c r="A95" s="6" t="s">
        <v>102</v>
      </c>
      <c r="B95" s="15">
        <v>45227</v>
      </c>
      <c r="C95" s="6" t="s">
        <v>515</v>
      </c>
      <c r="D95" s="6" t="s">
        <v>611</v>
      </c>
      <c r="E95" s="6" t="s">
        <v>672</v>
      </c>
      <c r="F95" s="6">
        <v>3</v>
      </c>
      <c r="G95" s="6">
        <v>1999</v>
      </c>
      <c r="H95" s="6"/>
      <c r="I95" s="6">
        <v>5997</v>
      </c>
      <c r="J95" s="6" t="str">
        <f>IF(I95&gt;formulas!$B$5,"yes","no")</f>
        <v>yes</v>
      </c>
      <c r="K95" s="6" t="str">
        <f t="shared" si="3"/>
        <v>no</v>
      </c>
      <c r="L95" s="6" t="str">
        <f>IF(COUNTIF('raw data'!$B$2:$B$501,B95)&gt;1,"Yes","No")</f>
        <v>No</v>
      </c>
      <c r="M95" t="str">
        <f t="shared" si="4"/>
        <v>no</v>
      </c>
      <c r="N95" t="str">
        <f t="shared" si="5"/>
        <v>No</v>
      </c>
      <c r="O95">
        <f>SUMIF('raw data'!B$2:B$501,B95,'raw data'!I$2:I$501)</f>
        <v>5997</v>
      </c>
      <c r="P95" t="str">
        <f>IF(OR(I95&lt;Visualization!$B$6,I95&gt;Visualization!$B$7),"Outlier","Normal")</f>
        <v>Outlier</v>
      </c>
    </row>
    <row r="96" spans="1:16" x14ac:dyDescent="0.35">
      <c r="A96" s="6" t="s">
        <v>103</v>
      </c>
      <c r="B96" s="15">
        <v>44991</v>
      </c>
      <c r="C96" s="6" t="s">
        <v>571</v>
      </c>
      <c r="D96" s="6" t="s">
        <v>610</v>
      </c>
      <c r="E96" s="6" t="s">
        <v>673</v>
      </c>
      <c r="F96" s="6">
        <v>3</v>
      </c>
      <c r="G96" s="6">
        <v>499</v>
      </c>
      <c r="H96" s="6"/>
      <c r="I96" s="6">
        <v>1497</v>
      </c>
      <c r="J96" s="6" t="str">
        <f>IF(I96&gt;formulas!$B$5,"yes","no")</f>
        <v>yes</v>
      </c>
      <c r="K96" s="6" t="str">
        <f t="shared" si="3"/>
        <v>no</v>
      </c>
      <c r="L96" s="6" t="str">
        <f>IF(COUNTIF('raw data'!$B$2:$B$501,B96)&gt;1,"Yes","No")</f>
        <v>No</v>
      </c>
      <c r="M96" t="str">
        <f t="shared" si="4"/>
        <v>no</v>
      </c>
      <c r="N96" t="str">
        <f t="shared" si="5"/>
        <v>No</v>
      </c>
      <c r="O96">
        <f>SUMIF('raw data'!B$2:B$501,B96,'raw data'!I$2:I$501)</f>
        <v>1497</v>
      </c>
      <c r="P96" t="str">
        <f>IF(OR(I96&lt;Visualization!$B$6,I96&gt;Visualization!$B$7),"Outlier","Normal")</f>
        <v>Outlier</v>
      </c>
    </row>
    <row r="97" spans="1:16" x14ac:dyDescent="0.35">
      <c r="A97" s="6" t="s">
        <v>104</v>
      </c>
      <c r="B97" s="15">
        <v>45271</v>
      </c>
      <c r="C97" s="6" t="s">
        <v>567</v>
      </c>
      <c r="D97" s="6" t="s">
        <v>609</v>
      </c>
      <c r="E97" s="6" t="s">
        <v>625</v>
      </c>
      <c r="F97" s="6">
        <v>3</v>
      </c>
      <c r="G97" s="6">
        <v>299</v>
      </c>
      <c r="H97" s="6">
        <v>0</v>
      </c>
      <c r="I97" s="6">
        <v>897</v>
      </c>
      <c r="J97" s="6" t="str">
        <f>IF(I97&gt;formulas!$B$5,"yes","no")</f>
        <v>no</v>
      </c>
      <c r="K97" s="6" t="str">
        <f t="shared" si="3"/>
        <v>no</v>
      </c>
      <c r="L97" s="6" t="str">
        <f>IF(COUNTIF('raw data'!$B$2:$B$501,B97)&gt;1,"Yes","No")</f>
        <v>Yes</v>
      </c>
      <c r="M97" t="str">
        <f t="shared" si="4"/>
        <v>no</v>
      </c>
      <c r="N97" t="str">
        <f t="shared" si="5"/>
        <v>No</v>
      </c>
      <c r="O97">
        <f>SUMIF('raw data'!B$2:B$501,B97,'raw data'!I$2:I$501)</f>
        <v>897</v>
      </c>
      <c r="P97" t="str">
        <f>IF(OR(I97&lt;Visualization!$B$6,I97&gt;Visualization!$B$7),"Outlier","Normal")</f>
        <v>Outlier</v>
      </c>
    </row>
    <row r="98" spans="1:16" x14ac:dyDescent="0.35">
      <c r="A98" s="6" t="s">
        <v>105</v>
      </c>
      <c r="B98" s="15">
        <v>45253</v>
      </c>
      <c r="C98" s="6" t="s">
        <v>572</v>
      </c>
      <c r="D98" s="6" t="s">
        <v>610</v>
      </c>
      <c r="E98" s="6" t="s">
        <v>634</v>
      </c>
      <c r="F98" s="6">
        <v>2</v>
      </c>
      <c r="G98" s="6">
        <v>999</v>
      </c>
      <c r="H98" s="6">
        <v>20</v>
      </c>
      <c r="I98" s="6">
        <v>1598.4</v>
      </c>
      <c r="J98" s="6" t="str">
        <f>IF(I98&gt;formulas!$B$5,"yes","no")</f>
        <v>yes</v>
      </c>
      <c r="K98" s="6" t="str">
        <f t="shared" si="3"/>
        <v>yes</v>
      </c>
      <c r="L98" s="6" t="str">
        <f>IF(COUNTIF('raw data'!$B$2:$B$501,B98)&gt;1,"Yes","No")</f>
        <v>Yes</v>
      </c>
      <c r="M98" t="str">
        <f t="shared" si="4"/>
        <v>yes</v>
      </c>
      <c r="N98" t="str">
        <f t="shared" si="5"/>
        <v>Yes</v>
      </c>
      <c r="O98">
        <f>SUMIF('raw data'!B$2:B$501,B98,'raw data'!I$2:I$501)</f>
        <v>1956.6000000000001</v>
      </c>
      <c r="P98" t="str">
        <f>IF(OR(I98&lt;Visualization!$B$6,I98&gt;Visualization!$B$7),"Outlier","Normal")</f>
        <v>Outlier</v>
      </c>
    </row>
    <row r="99" spans="1:16" x14ac:dyDescent="0.35">
      <c r="A99" s="6" t="s">
        <v>106</v>
      </c>
      <c r="B99" s="15">
        <v>44935</v>
      </c>
      <c r="C99" s="6" t="s">
        <v>561</v>
      </c>
      <c r="D99" s="6" t="s">
        <v>613</v>
      </c>
      <c r="E99" s="6" t="s">
        <v>674</v>
      </c>
      <c r="F99" s="6">
        <v>2</v>
      </c>
      <c r="G99" s="6">
        <v>499</v>
      </c>
      <c r="H99" s="6"/>
      <c r="I99" s="6">
        <v>998</v>
      </c>
      <c r="J99" s="6" t="str">
        <f>IF(I99&gt;formulas!$B$5,"yes","no")</f>
        <v>no</v>
      </c>
      <c r="K99" s="6" t="str">
        <f t="shared" si="3"/>
        <v>no</v>
      </c>
      <c r="L99" s="6" t="str">
        <f>IF(COUNTIF('raw data'!$B$2:$B$501,B99)&gt;1,"Yes","No")</f>
        <v>Yes</v>
      </c>
      <c r="M99" t="str">
        <f t="shared" si="4"/>
        <v>no</v>
      </c>
      <c r="N99" t="str">
        <f t="shared" si="5"/>
        <v>No</v>
      </c>
      <c r="O99">
        <f>SUMIF('raw data'!B$2:B$501,B99,'raw data'!I$2:I$501)</f>
        <v>4794.2</v>
      </c>
      <c r="P99" t="str">
        <f>IF(OR(I99&lt;Visualization!$B$6,I99&gt;Visualization!$B$7),"Outlier","Normal")</f>
        <v>Outlier</v>
      </c>
    </row>
    <row r="100" spans="1:16" x14ac:dyDescent="0.35">
      <c r="A100" s="6" t="s">
        <v>107</v>
      </c>
      <c r="B100" s="15">
        <v>45270</v>
      </c>
      <c r="C100" s="6" t="s">
        <v>573</v>
      </c>
      <c r="D100" s="6" t="s">
        <v>611</v>
      </c>
      <c r="E100" s="6" t="s">
        <v>658</v>
      </c>
      <c r="F100" s="6">
        <v>3</v>
      </c>
      <c r="G100" s="6">
        <v>1499</v>
      </c>
      <c r="H100" s="6">
        <v>0</v>
      </c>
      <c r="I100" s="6">
        <v>4497</v>
      </c>
      <c r="J100" s="6" t="str">
        <f>IF(I100&gt;formulas!$B$5,"yes","no")</f>
        <v>yes</v>
      </c>
      <c r="K100" s="6" t="str">
        <f t="shared" si="3"/>
        <v>no</v>
      </c>
      <c r="L100" s="6" t="str">
        <f>IF(COUNTIF('raw data'!$B$2:$B$501,B100)&gt;1,"Yes","No")</f>
        <v>Yes</v>
      </c>
      <c r="M100" t="str">
        <f t="shared" si="4"/>
        <v>no</v>
      </c>
      <c r="N100" t="str">
        <f t="shared" si="5"/>
        <v>Yes</v>
      </c>
      <c r="O100">
        <f>SUMIF('raw data'!B$2:B$501,B100,'raw data'!I$2:I$501)</f>
        <v>4815.3999999999996</v>
      </c>
      <c r="P100" t="str">
        <f>IF(OR(I100&lt;Visualization!$B$6,I100&gt;Visualization!$B$7),"Outlier","Normal")</f>
        <v>Outlier</v>
      </c>
    </row>
    <row r="101" spans="1:16" x14ac:dyDescent="0.35">
      <c r="A101" s="6" t="s">
        <v>108</v>
      </c>
      <c r="B101" s="15">
        <v>45055</v>
      </c>
      <c r="C101" s="6" t="s">
        <v>552</v>
      </c>
      <c r="D101" s="6" t="s">
        <v>611</v>
      </c>
      <c r="E101" s="6" t="s">
        <v>620</v>
      </c>
      <c r="F101" s="6">
        <v>2</v>
      </c>
      <c r="G101" s="6">
        <v>1999</v>
      </c>
      <c r="H101" s="6"/>
      <c r="I101" s="6">
        <v>3998</v>
      </c>
      <c r="J101" s="6" t="str">
        <f>IF(I101&gt;formulas!$B$5,"yes","no")</f>
        <v>yes</v>
      </c>
      <c r="K101" s="6" t="str">
        <f t="shared" si="3"/>
        <v>no</v>
      </c>
      <c r="L101" s="6" t="str">
        <f>IF(COUNTIF('raw data'!$B$2:$B$501,B101)&gt;1,"Yes","No")</f>
        <v>Yes</v>
      </c>
      <c r="M101" t="str">
        <f t="shared" si="4"/>
        <v>no</v>
      </c>
      <c r="N101" t="str">
        <f t="shared" si="5"/>
        <v>Yes</v>
      </c>
      <c r="O101">
        <f>SUMIF('raw data'!B$2:B$501,B101,'raw data'!I$2:I$501)</f>
        <v>5564.75</v>
      </c>
      <c r="P101" t="str">
        <f>IF(OR(I101&lt;Visualization!$B$6,I101&gt;Visualization!$B$7),"Outlier","Normal")</f>
        <v>Outlier</v>
      </c>
    </row>
    <row r="102" spans="1:16" x14ac:dyDescent="0.35">
      <c r="A102" s="6" t="s">
        <v>109</v>
      </c>
      <c r="B102" s="15">
        <v>45062</v>
      </c>
      <c r="C102" s="6" t="s">
        <v>569</v>
      </c>
      <c r="D102" s="6" t="s">
        <v>613</v>
      </c>
      <c r="E102" s="6" t="s">
        <v>664</v>
      </c>
      <c r="F102" s="6">
        <v>2</v>
      </c>
      <c r="G102" s="6"/>
      <c r="H102" s="6">
        <v>15</v>
      </c>
      <c r="I102" s="6"/>
      <c r="J102" s="6" t="str">
        <f>IF(I102&gt;formulas!$B$5,"yes","no")</f>
        <v>no</v>
      </c>
      <c r="K102" s="6" t="str">
        <f t="shared" si="3"/>
        <v>yes</v>
      </c>
      <c r="L102" s="6" t="str">
        <f>IF(COUNTIF('raw data'!$B$2:$B$501,B102)&gt;1,"Yes","No")</f>
        <v>No</v>
      </c>
      <c r="M102" t="str">
        <f t="shared" si="4"/>
        <v>no</v>
      </c>
      <c r="N102" t="str">
        <f t="shared" si="5"/>
        <v>No</v>
      </c>
      <c r="O102">
        <f>SUMIF('raw data'!B$2:B$501,B102,'raw data'!I$2:I$501)</f>
        <v>0</v>
      </c>
      <c r="P102" t="str">
        <f>IF(OR(I102&lt;Visualization!$B$6,I102&gt;Visualization!$B$7),"Outlier","Normal")</f>
        <v>Normal</v>
      </c>
    </row>
    <row r="103" spans="1:16" x14ac:dyDescent="0.35">
      <c r="A103" s="6" t="s">
        <v>110</v>
      </c>
      <c r="B103" s="15">
        <v>44989</v>
      </c>
      <c r="C103" s="6" t="s">
        <v>574</v>
      </c>
      <c r="D103" s="6" t="s">
        <v>613</v>
      </c>
      <c r="E103" s="6" t="s">
        <v>627</v>
      </c>
      <c r="F103" s="6">
        <v>0</v>
      </c>
      <c r="G103" s="6">
        <v>1999</v>
      </c>
      <c r="H103" s="6">
        <v>10</v>
      </c>
      <c r="I103" s="6">
        <v>0</v>
      </c>
      <c r="J103" s="6" t="str">
        <f>IF(I103&gt;formulas!$B$5,"yes","no")</f>
        <v>no</v>
      </c>
      <c r="K103" s="6" t="str">
        <f t="shared" si="3"/>
        <v>yes</v>
      </c>
      <c r="L103" s="6" t="str">
        <f>IF(COUNTIF('raw data'!$B$2:$B$501,B103)&gt;1,"Yes","No")</f>
        <v>Yes</v>
      </c>
      <c r="M103" t="str">
        <f t="shared" si="4"/>
        <v>no</v>
      </c>
      <c r="N103" t="str">
        <f t="shared" si="5"/>
        <v>No</v>
      </c>
      <c r="O103">
        <f>SUMIF('raw data'!B$2:B$501,B103,'raw data'!I$2:I$501)</f>
        <v>1895</v>
      </c>
      <c r="P103" t="str">
        <f>IF(OR(I103&lt;Visualization!$B$6,I103&gt;Visualization!$B$7),"Outlier","Normal")</f>
        <v>Normal</v>
      </c>
    </row>
    <row r="104" spans="1:16" x14ac:dyDescent="0.35">
      <c r="A104" s="6" t="s">
        <v>111</v>
      </c>
      <c r="B104" s="15">
        <v>45065</v>
      </c>
      <c r="C104" s="6" t="s">
        <v>575</v>
      </c>
      <c r="D104" s="6" t="s">
        <v>609</v>
      </c>
      <c r="E104" s="6" t="s">
        <v>664</v>
      </c>
      <c r="F104" s="6">
        <v>3</v>
      </c>
      <c r="G104" s="6"/>
      <c r="H104" s="6">
        <v>10</v>
      </c>
      <c r="I104" s="6"/>
      <c r="J104" s="6" t="str">
        <f>IF(I104&gt;formulas!$B$5,"yes","no")</f>
        <v>no</v>
      </c>
      <c r="K104" s="6" t="str">
        <f t="shared" si="3"/>
        <v>yes</v>
      </c>
      <c r="L104" s="6" t="str">
        <f>IF(COUNTIF('raw data'!$B$2:$B$501,B104)&gt;1,"Yes","No")</f>
        <v>No</v>
      </c>
      <c r="M104" t="str">
        <f t="shared" si="4"/>
        <v>no</v>
      </c>
      <c r="N104" t="str">
        <f t="shared" si="5"/>
        <v>No</v>
      </c>
      <c r="O104">
        <f>SUMIF('raw data'!B$2:B$501,B104,'raw data'!I$2:I$501)</f>
        <v>0</v>
      </c>
      <c r="P104" t="str">
        <f>IF(OR(I104&lt;Visualization!$B$6,I104&gt;Visualization!$B$7),"Outlier","Normal")</f>
        <v>Normal</v>
      </c>
    </row>
    <row r="105" spans="1:16" x14ac:dyDescent="0.35">
      <c r="A105" s="6" t="s">
        <v>112</v>
      </c>
      <c r="B105" s="15">
        <v>45007</v>
      </c>
      <c r="C105" s="6" t="s">
        <v>573</v>
      </c>
      <c r="D105" s="6" t="s">
        <v>611</v>
      </c>
      <c r="E105" s="6" t="s">
        <v>675</v>
      </c>
      <c r="F105" s="6">
        <v>1</v>
      </c>
      <c r="G105" s="6">
        <v>199</v>
      </c>
      <c r="H105" s="6"/>
      <c r="I105" s="6">
        <v>199</v>
      </c>
      <c r="J105" s="6" t="str">
        <f>IF(I105&gt;formulas!$B$5,"yes","no")</f>
        <v>no</v>
      </c>
      <c r="K105" s="6" t="str">
        <f t="shared" si="3"/>
        <v>no</v>
      </c>
      <c r="L105" s="6" t="str">
        <f>IF(COUNTIF('raw data'!$B$2:$B$501,B105)&gt;1,"Yes","No")</f>
        <v>Yes</v>
      </c>
      <c r="M105" t="str">
        <f t="shared" si="4"/>
        <v>no</v>
      </c>
      <c r="N105" t="str">
        <f t="shared" si="5"/>
        <v>No</v>
      </c>
      <c r="O105">
        <f>SUMIF('raw data'!B$2:B$501,B105,'raw data'!I$2:I$501)</f>
        <v>4393.8</v>
      </c>
      <c r="P105" t="str">
        <f>IF(OR(I105&lt;Visualization!$B$6,I105&gt;Visualization!$B$7),"Outlier","Normal")</f>
        <v>Outlier</v>
      </c>
    </row>
    <row r="106" spans="1:16" x14ac:dyDescent="0.35">
      <c r="A106" s="6" t="s">
        <v>113</v>
      </c>
      <c r="B106" s="15">
        <v>45089</v>
      </c>
      <c r="C106" s="6" t="s">
        <v>576</v>
      </c>
      <c r="D106" s="6" t="s">
        <v>610</v>
      </c>
      <c r="E106" s="6" t="s">
        <v>626</v>
      </c>
      <c r="F106" s="6">
        <v>3</v>
      </c>
      <c r="G106" s="6">
        <v>1999</v>
      </c>
      <c r="H106" s="6">
        <v>5</v>
      </c>
      <c r="I106" s="6">
        <v>5697.15</v>
      </c>
      <c r="J106" s="6" t="str">
        <f>IF(I106&gt;formulas!$B$5,"yes","no")</f>
        <v>yes</v>
      </c>
      <c r="K106" s="6" t="str">
        <f t="shared" si="3"/>
        <v>yes</v>
      </c>
      <c r="L106" s="6" t="str">
        <f>IF(COUNTIF('raw data'!$B$2:$B$501,B106)&gt;1,"Yes","No")</f>
        <v>Yes</v>
      </c>
      <c r="M106" t="str">
        <f t="shared" si="4"/>
        <v>no</v>
      </c>
      <c r="N106" t="str">
        <f t="shared" si="5"/>
        <v>Yes</v>
      </c>
      <c r="O106">
        <f>SUMIF('raw data'!B$2:B$501,B106,'raw data'!I$2:I$501)</f>
        <v>6075.25</v>
      </c>
      <c r="P106" t="str">
        <f>IF(OR(I106&lt;Visualization!$B$6,I106&gt;Visualization!$B$7),"Outlier","Normal")</f>
        <v>Outlier</v>
      </c>
    </row>
    <row r="107" spans="1:16" x14ac:dyDescent="0.35">
      <c r="A107" s="6" t="s">
        <v>114</v>
      </c>
      <c r="B107" s="15">
        <v>45215</v>
      </c>
      <c r="C107" s="6" t="s">
        <v>540</v>
      </c>
      <c r="D107" s="6" t="s">
        <v>612</v>
      </c>
      <c r="E107" s="6" t="s">
        <v>676</v>
      </c>
      <c r="F107" s="6">
        <v>4</v>
      </c>
      <c r="G107" s="6">
        <v>499</v>
      </c>
      <c r="H107" s="6">
        <v>20</v>
      </c>
      <c r="I107" s="6">
        <v>1596.8</v>
      </c>
      <c r="J107" s="6" t="str">
        <f>IF(I107&gt;formulas!$B$5,"yes","no")</f>
        <v>yes</v>
      </c>
      <c r="K107" s="6" t="str">
        <f t="shared" si="3"/>
        <v>yes</v>
      </c>
      <c r="L107" s="6" t="str">
        <f>IF(COUNTIF('raw data'!$B$2:$B$501,B107)&gt;1,"Yes","No")</f>
        <v>Yes</v>
      </c>
      <c r="M107" t="str">
        <f t="shared" si="4"/>
        <v>yes</v>
      </c>
      <c r="N107" t="str">
        <f t="shared" si="5"/>
        <v>Yes</v>
      </c>
      <c r="O107">
        <f>SUMIF('raw data'!B$2:B$501,B107,'raw data'!I$2:I$501)</f>
        <v>2878.8500000000004</v>
      </c>
      <c r="P107" t="str">
        <f>IF(OR(I107&lt;Visualization!$B$6,I107&gt;Visualization!$B$7),"Outlier","Normal")</f>
        <v>Outlier</v>
      </c>
    </row>
    <row r="108" spans="1:16" x14ac:dyDescent="0.35">
      <c r="A108" s="6" t="s">
        <v>115</v>
      </c>
      <c r="B108" s="15">
        <v>45187</v>
      </c>
      <c r="C108" s="6" t="s">
        <v>575</v>
      </c>
      <c r="D108" s="6" t="s">
        <v>612</v>
      </c>
      <c r="E108" s="6" t="s">
        <v>641</v>
      </c>
      <c r="F108" s="6">
        <v>2</v>
      </c>
      <c r="G108" s="6"/>
      <c r="H108" s="6">
        <v>20</v>
      </c>
      <c r="I108" s="6"/>
      <c r="J108" s="6" t="str">
        <f>IF(I108&gt;formulas!$B$5,"yes","no")</f>
        <v>no</v>
      </c>
      <c r="K108" s="6" t="str">
        <f t="shared" si="3"/>
        <v>yes</v>
      </c>
      <c r="L108" s="6" t="str">
        <f>IF(COUNTIF('raw data'!$B$2:$B$501,B108)&gt;1,"Yes","No")</f>
        <v>No</v>
      </c>
      <c r="M108" t="str">
        <f t="shared" si="4"/>
        <v>yes</v>
      </c>
      <c r="N108" t="str">
        <f t="shared" si="5"/>
        <v>No</v>
      </c>
      <c r="O108">
        <f>SUMIF('raw data'!B$2:B$501,B108,'raw data'!I$2:I$501)</f>
        <v>0</v>
      </c>
      <c r="P108" t="str">
        <f>IF(OR(I108&lt;Visualization!$B$6,I108&gt;Visualization!$B$7),"Outlier","Normal")</f>
        <v>Normal</v>
      </c>
    </row>
    <row r="109" spans="1:16" x14ac:dyDescent="0.35">
      <c r="A109" s="6" t="s">
        <v>116</v>
      </c>
      <c r="B109" s="15">
        <v>45157</v>
      </c>
      <c r="C109" s="6" t="s">
        <v>577</v>
      </c>
      <c r="D109" s="6" t="s">
        <v>613</v>
      </c>
      <c r="E109" s="6" t="s">
        <v>623</v>
      </c>
      <c r="F109" s="6">
        <v>2</v>
      </c>
      <c r="G109" s="6">
        <v>299</v>
      </c>
      <c r="H109" s="6">
        <v>20</v>
      </c>
      <c r="I109" s="6">
        <v>478.4</v>
      </c>
      <c r="J109" s="6" t="str">
        <f>IF(I109&gt;formulas!$B$5,"yes","no")</f>
        <v>no</v>
      </c>
      <c r="K109" s="6" t="str">
        <f t="shared" si="3"/>
        <v>yes</v>
      </c>
      <c r="L109" s="6" t="str">
        <f>IF(COUNTIF('raw data'!$B$2:$B$501,B109)&gt;1,"Yes","No")</f>
        <v>Yes</v>
      </c>
      <c r="M109" t="str">
        <f t="shared" si="4"/>
        <v>yes</v>
      </c>
      <c r="N109" t="str">
        <f t="shared" si="5"/>
        <v>No</v>
      </c>
      <c r="O109">
        <f>SUMIF('raw data'!B$2:B$501,B109,'raw data'!I$2:I$501)</f>
        <v>7082.3</v>
      </c>
      <c r="P109" t="str">
        <f>IF(OR(I109&lt;Visualization!$B$6,I109&gt;Visualization!$B$7),"Outlier","Normal")</f>
        <v>Outlier</v>
      </c>
    </row>
    <row r="110" spans="1:16" x14ac:dyDescent="0.35">
      <c r="A110" s="6" t="s">
        <v>117</v>
      </c>
      <c r="B110" s="15">
        <v>44967</v>
      </c>
      <c r="C110" s="6" t="s">
        <v>529</v>
      </c>
      <c r="D110" s="6" t="s">
        <v>609</v>
      </c>
      <c r="E110" s="6" t="s">
        <v>677</v>
      </c>
      <c r="F110" s="6"/>
      <c r="G110" s="6">
        <v>499</v>
      </c>
      <c r="H110" s="6">
        <v>15</v>
      </c>
      <c r="I110" s="6"/>
      <c r="J110" s="6" t="str">
        <f>IF(I110&gt;formulas!$B$5,"yes","no")</f>
        <v>no</v>
      </c>
      <c r="K110" s="6" t="str">
        <f t="shared" si="3"/>
        <v>yes</v>
      </c>
      <c r="L110" s="6" t="str">
        <f>IF(COUNTIF('raw data'!$B$2:$B$501,B110)&gt;1,"Yes","No")</f>
        <v>Yes</v>
      </c>
      <c r="M110" t="str">
        <f t="shared" si="4"/>
        <v>no</v>
      </c>
      <c r="N110" t="str">
        <f t="shared" si="5"/>
        <v>No</v>
      </c>
      <c r="O110">
        <f>SUMIF('raw data'!B$2:B$501,B110,'raw data'!I$2:I$501)</f>
        <v>189.05</v>
      </c>
      <c r="P110" t="str">
        <f>IF(OR(I110&lt;Visualization!$B$6,I110&gt;Visualization!$B$7),"Outlier","Normal")</f>
        <v>Normal</v>
      </c>
    </row>
    <row r="111" spans="1:16" x14ac:dyDescent="0.35">
      <c r="A111" s="6" t="s">
        <v>118</v>
      </c>
      <c r="B111" s="15">
        <v>44954</v>
      </c>
      <c r="C111" s="6" t="s">
        <v>578</v>
      </c>
      <c r="D111" s="6" t="s">
        <v>612</v>
      </c>
      <c r="E111" s="6" t="s">
        <v>678</v>
      </c>
      <c r="F111" s="6">
        <v>4</v>
      </c>
      <c r="G111" s="6">
        <v>299</v>
      </c>
      <c r="H111" s="6">
        <v>20</v>
      </c>
      <c r="I111" s="6">
        <v>956.80000000000007</v>
      </c>
      <c r="J111" s="6" t="str">
        <f>IF(I111&gt;formulas!$B$5,"yes","no")</f>
        <v>no</v>
      </c>
      <c r="K111" s="6" t="str">
        <f t="shared" si="3"/>
        <v>yes</v>
      </c>
      <c r="L111" s="6" t="str">
        <f>IF(COUNTIF('raw data'!$B$2:$B$501,B111)&gt;1,"Yes","No")</f>
        <v>Yes</v>
      </c>
      <c r="M111" t="str">
        <f t="shared" si="4"/>
        <v>yes</v>
      </c>
      <c r="N111" t="str">
        <f t="shared" si="5"/>
        <v>No</v>
      </c>
      <c r="O111">
        <f>SUMIF('raw data'!B$2:B$501,B111,'raw data'!I$2:I$501)</f>
        <v>1553.8000000000002</v>
      </c>
      <c r="P111" t="str">
        <f>IF(OR(I111&lt;Visualization!$B$6,I111&gt;Visualization!$B$7),"Outlier","Normal")</f>
        <v>Outlier</v>
      </c>
    </row>
    <row r="112" spans="1:16" x14ac:dyDescent="0.35">
      <c r="A112" s="6" t="s">
        <v>119</v>
      </c>
      <c r="B112" s="15">
        <v>45061</v>
      </c>
      <c r="C112" s="6" t="s">
        <v>517</v>
      </c>
      <c r="D112" s="6" t="s">
        <v>611</v>
      </c>
      <c r="E112" s="6" t="s">
        <v>664</v>
      </c>
      <c r="F112" s="6">
        <v>5</v>
      </c>
      <c r="G112" s="6">
        <v>1999</v>
      </c>
      <c r="H112" s="6">
        <v>10</v>
      </c>
      <c r="I112" s="6">
        <v>8995.5</v>
      </c>
      <c r="J112" s="6" t="str">
        <f>IF(I112&gt;formulas!$B$5,"yes","no")</f>
        <v>yes</v>
      </c>
      <c r="K112" s="6" t="str">
        <f t="shared" si="3"/>
        <v>yes</v>
      </c>
      <c r="L112" s="6" t="str">
        <f>IF(COUNTIF('raw data'!$B$2:$B$501,B112)&gt;1,"Yes","No")</f>
        <v>Yes</v>
      </c>
      <c r="M112" t="str">
        <f t="shared" si="4"/>
        <v>no</v>
      </c>
      <c r="N112" t="str">
        <f t="shared" si="5"/>
        <v>Yes</v>
      </c>
      <c r="O112">
        <f>SUMIF('raw data'!B$2:B$501,B112,'raw data'!I$2:I$501)</f>
        <v>10466.950000000001</v>
      </c>
      <c r="P112" t="str">
        <f>IF(OR(I112&lt;Visualization!$B$6,I112&gt;Visualization!$B$7),"Outlier","Normal")</f>
        <v>Outlier</v>
      </c>
    </row>
    <row r="113" spans="1:16" x14ac:dyDescent="0.35">
      <c r="A113" s="6" t="s">
        <v>120</v>
      </c>
      <c r="B113" s="15">
        <v>45127</v>
      </c>
      <c r="C113" s="6" t="s">
        <v>531</v>
      </c>
      <c r="D113" s="6" t="s">
        <v>613</v>
      </c>
      <c r="E113" s="6" t="s">
        <v>659</v>
      </c>
      <c r="F113" s="6">
        <v>4</v>
      </c>
      <c r="G113" s="6">
        <v>299</v>
      </c>
      <c r="H113" s="6">
        <v>15</v>
      </c>
      <c r="I113" s="6">
        <v>1016.6</v>
      </c>
      <c r="J113" s="6" t="str">
        <f>IF(I113&gt;formulas!$B$5,"yes","no")</f>
        <v>no</v>
      </c>
      <c r="K113" s="6" t="str">
        <f t="shared" si="3"/>
        <v>yes</v>
      </c>
      <c r="L113" s="6" t="str">
        <f>IF(COUNTIF('raw data'!$B$2:$B$501,B113)&gt;1,"Yes","No")</f>
        <v>Yes</v>
      </c>
      <c r="M113" t="str">
        <f t="shared" si="4"/>
        <v>no</v>
      </c>
      <c r="N113" t="str">
        <f t="shared" si="5"/>
        <v>No</v>
      </c>
      <c r="O113">
        <f>SUMIF('raw data'!B$2:B$501,B113,'raw data'!I$2:I$501)</f>
        <v>1812.6</v>
      </c>
      <c r="P113" t="str">
        <f>IF(OR(I113&lt;Visualization!$B$6,I113&gt;Visualization!$B$7),"Outlier","Normal")</f>
        <v>Outlier</v>
      </c>
    </row>
    <row r="114" spans="1:16" x14ac:dyDescent="0.35">
      <c r="A114" s="6" t="s">
        <v>121</v>
      </c>
      <c r="B114" s="15">
        <v>45254</v>
      </c>
      <c r="C114" s="6" t="s">
        <v>535</v>
      </c>
      <c r="D114" s="6" t="s">
        <v>610</v>
      </c>
      <c r="E114" s="6" t="s">
        <v>679</v>
      </c>
      <c r="F114" s="6">
        <v>1</v>
      </c>
      <c r="G114" s="6"/>
      <c r="H114" s="6">
        <v>0</v>
      </c>
      <c r="I114" s="6"/>
      <c r="J114" s="6" t="str">
        <f>IF(I114&gt;formulas!$B$5,"yes","no")</f>
        <v>no</v>
      </c>
      <c r="K114" s="6" t="str">
        <f t="shared" si="3"/>
        <v>no</v>
      </c>
      <c r="L114" s="6" t="str">
        <f>IF(COUNTIF('raw data'!$B$2:$B$501,B114)&gt;1,"Yes","No")</f>
        <v>No</v>
      </c>
      <c r="M114" t="str">
        <f t="shared" si="4"/>
        <v>no</v>
      </c>
      <c r="N114" t="str">
        <f t="shared" si="5"/>
        <v>No</v>
      </c>
      <c r="O114">
        <f>SUMIF('raw data'!B$2:B$501,B114,'raw data'!I$2:I$501)</f>
        <v>0</v>
      </c>
      <c r="P114" t="str">
        <f>IF(OR(I114&lt;Visualization!$B$6,I114&gt;Visualization!$B$7),"Outlier","Normal")</f>
        <v>Normal</v>
      </c>
    </row>
    <row r="115" spans="1:16" x14ac:dyDescent="0.35">
      <c r="A115" s="6" t="s">
        <v>122</v>
      </c>
      <c r="B115" s="15">
        <v>45194</v>
      </c>
      <c r="C115" s="6" t="s">
        <v>541</v>
      </c>
      <c r="D115" s="6" t="s">
        <v>613</v>
      </c>
      <c r="E115" s="6" t="s">
        <v>614</v>
      </c>
      <c r="F115" s="6">
        <v>1</v>
      </c>
      <c r="G115" s="6">
        <v>499</v>
      </c>
      <c r="H115" s="6">
        <v>20</v>
      </c>
      <c r="I115" s="6">
        <v>399.2</v>
      </c>
      <c r="J115" s="6" t="str">
        <f>IF(I115&gt;formulas!$B$5,"yes","no")</f>
        <v>no</v>
      </c>
      <c r="K115" s="6" t="str">
        <f t="shared" si="3"/>
        <v>yes</v>
      </c>
      <c r="L115" s="6" t="str">
        <f>IF(COUNTIF('raw data'!$B$2:$B$501,B115)&gt;1,"Yes","No")</f>
        <v>Yes</v>
      </c>
      <c r="M115" t="str">
        <f t="shared" si="4"/>
        <v>yes</v>
      </c>
      <c r="N115" t="str">
        <f t="shared" si="5"/>
        <v>No</v>
      </c>
      <c r="O115">
        <f>SUMIF('raw data'!B$2:B$501,B115,'raw data'!I$2:I$501)</f>
        <v>1206.5</v>
      </c>
      <c r="P115" t="str">
        <f>IF(OR(I115&lt;Visualization!$B$6,I115&gt;Visualization!$B$7),"Outlier","Normal")</f>
        <v>Outlier</v>
      </c>
    </row>
    <row r="116" spans="1:16" x14ac:dyDescent="0.35">
      <c r="A116" s="6" t="s">
        <v>123</v>
      </c>
      <c r="B116" s="15">
        <v>44959</v>
      </c>
      <c r="C116" s="6" t="s">
        <v>579</v>
      </c>
      <c r="D116" s="6" t="s">
        <v>610</v>
      </c>
      <c r="E116" s="6" t="s">
        <v>614</v>
      </c>
      <c r="F116" s="6">
        <v>2</v>
      </c>
      <c r="G116" s="6">
        <v>1499</v>
      </c>
      <c r="H116" s="6">
        <v>20</v>
      </c>
      <c r="I116" s="6">
        <v>2398.4</v>
      </c>
      <c r="J116" s="6" t="str">
        <f>IF(I116&gt;formulas!$B$5,"yes","no")</f>
        <v>yes</v>
      </c>
      <c r="K116" s="6" t="str">
        <f t="shared" si="3"/>
        <v>yes</v>
      </c>
      <c r="L116" s="6" t="str">
        <f>IF(COUNTIF('raw data'!$B$2:$B$501,B116)&gt;1,"Yes","No")</f>
        <v>Yes</v>
      </c>
      <c r="M116" t="str">
        <f t="shared" si="4"/>
        <v>yes</v>
      </c>
      <c r="N116" t="str">
        <f t="shared" si="5"/>
        <v>Yes</v>
      </c>
      <c r="O116">
        <f>SUMIF('raw data'!B$2:B$501,B116,'raw data'!I$2:I$501)</f>
        <v>2936.6000000000004</v>
      </c>
      <c r="P116" t="str">
        <f>IF(OR(I116&lt;Visualization!$B$6,I116&gt;Visualization!$B$7),"Outlier","Normal")</f>
        <v>Outlier</v>
      </c>
    </row>
    <row r="117" spans="1:16" x14ac:dyDescent="0.35">
      <c r="A117" s="6" t="s">
        <v>124</v>
      </c>
      <c r="B117" s="15">
        <v>44974</v>
      </c>
      <c r="C117" s="6" t="s">
        <v>562</v>
      </c>
      <c r="D117" s="6" t="s">
        <v>613</v>
      </c>
      <c r="E117" s="6" t="s">
        <v>666</v>
      </c>
      <c r="F117" s="6">
        <v>1</v>
      </c>
      <c r="G117" s="6">
        <v>999</v>
      </c>
      <c r="H117" s="6">
        <v>0</v>
      </c>
      <c r="I117" s="6">
        <v>999</v>
      </c>
      <c r="J117" s="6" t="str">
        <f>IF(I117&gt;formulas!$B$5,"yes","no")</f>
        <v>no</v>
      </c>
      <c r="K117" s="6" t="str">
        <f t="shared" si="3"/>
        <v>no</v>
      </c>
      <c r="L117" s="6" t="str">
        <f>IF(COUNTIF('raw data'!$B$2:$B$501,B117)&gt;1,"Yes","No")</f>
        <v>Yes</v>
      </c>
      <c r="M117" t="str">
        <f t="shared" si="4"/>
        <v>no</v>
      </c>
      <c r="N117" t="str">
        <f t="shared" si="5"/>
        <v>No</v>
      </c>
      <c r="O117">
        <f>SUMIF('raw data'!B$2:B$501,B117,'raw data'!I$2:I$501)</f>
        <v>1238.2</v>
      </c>
      <c r="P117" t="str">
        <f>IF(OR(I117&lt;Visualization!$B$6,I117&gt;Visualization!$B$7),"Outlier","Normal")</f>
        <v>Outlier</v>
      </c>
    </row>
    <row r="118" spans="1:16" x14ac:dyDescent="0.35">
      <c r="A118" s="6" t="s">
        <v>125</v>
      </c>
      <c r="B118" s="15">
        <v>44988</v>
      </c>
      <c r="C118" s="6" t="s">
        <v>563</v>
      </c>
      <c r="D118" s="6" t="s">
        <v>613</v>
      </c>
      <c r="E118" s="6" t="s">
        <v>639</v>
      </c>
      <c r="F118" s="6">
        <v>2</v>
      </c>
      <c r="G118" s="6"/>
      <c r="H118" s="6">
        <v>20</v>
      </c>
      <c r="I118" s="6"/>
      <c r="J118" s="6" t="str">
        <f>IF(I118&gt;formulas!$B$5,"yes","no")</f>
        <v>no</v>
      </c>
      <c r="K118" s="6" t="str">
        <f t="shared" si="3"/>
        <v>yes</v>
      </c>
      <c r="L118" s="6" t="str">
        <f>IF(COUNTIF('raw data'!$B$2:$B$501,B118)&gt;1,"Yes","No")</f>
        <v>Yes</v>
      </c>
      <c r="M118" t="str">
        <f t="shared" si="4"/>
        <v>yes</v>
      </c>
      <c r="N118" t="str">
        <f t="shared" si="5"/>
        <v>No</v>
      </c>
      <c r="O118">
        <f>SUMIF('raw data'!B$2:B$501,B118,'raw data'!I$2:I$501)</f>
        <v>998</v>
      </c>
      <c r="P118" t="str">
        <f>IF(OR(I118&lt;Visualization!$B$6,I118&gt;Visualization!$B$7),"Outlier","Normal")</f>
        <v>Normal</v>
      </c>
    </row>
    <row r="119" spans="1:16" x14ac:dyDescent="0.35">
      <c r="A119" s="6" t="s">
        <v>126</v>
      </c>
      <c r="B119" s="15">
        <v>45142</v>
      </c>
      <c r="C119" s="6" t="s">
        <v>525</v>
      </c>
      <c r="D119" s="6" t="s">
        <v>613</v>
      </c>
      <c r="E119" s="6" t="s">
        <v>653</v>
      </c>
      <c r="F119" s="6">
        <v>2</v>
      </c>
      <c r="G119" s="6"/>
      <c r="H119" s="6">
        <v>0</v>
      </c>
      <c r="I119" s="6"/>
      <c r="J119" s="6" t="str">
        <f>IF(I119&gt;formulas!$B$5,"yes","no")</f>
        <v>no</v>
      </c>
      <c r="K119" s="6" t="str">
        <f t="shared" si="3"/>
        <v>no</v>
      </c>
      <c r="L119" s="6" t="str">
        <f>IF(COUNTIF('raw data'!$B$2:$B$501,B119)&gt;1,"Yes","No")</f>
        <v>No</v>
      </c>
      <c r="M119" t="str">
        <f t="shared" si="4"/>
        <v>no</v>
      </c>
      <c r="N119" t="str">
        <f t="shared" si="5"/>
        <v>No</v>
      </c>
      <c r="O119">
        <f>SUMIF('raw data'!B$2:B$501,B119,'raw data'!I$2:I$501)</f>
        <v>0</v>
      </c>
      <c r="P119" t="str">
        <f>IF(OR(I119&lt;Visualization!$B$6,I119&gt;Visualization!$B$7),"Outlier","Normal")</f>
        <v>Normal</v>
      </c>
    </row>
    <row r="120" spans="1:16" x14ac:dyDescent="0.35">
      <c r="A120" s="6" t="s">
        <v>127</v>
      </c>
      <c r="B120" s="15">
        <v>45219</v>
      </c>
      <c r="C120" s="6" t="s">
        <v>540</v>
      </c>
      <c r="D120" s="6" t="s">
        <v>610</v>
      </c>
      <c r="E120" s="6" t="s">
        <v>672</v>
      </c>
      <c r="F120" s="6">
        <v>2</v>
      </c>
      <c r="G120" s="6">
        <v>1499</v>
      </c>
      <c r="H120" s="6">
        <v>15</v>
      </c>
      <c r="I120" s="6">
        <v>2548.3000000000002</v>
      </c>
      <c r="J120" s="6" t="str">
        <f>IF(I120&gt;formulas!$B$5,"yes","no")</f>
        <v>yes</v>
      </c>
      <c r="K120" s="6" t="str">
        <f t="shared" si="3"/>
        <v>yes</v>
      </c>
      <c r="L120" s="6" t="str">
        <f>IF(COUNTIF('raw data'!$B$2:$B$501,B120)&gt;1,"Yes","No")</f>
        <v>No</v>
      </c>
      <c r="M120" t="str">
        <f t="shared" si="4"/>
        <v>no</v>
      </c>
      <c r="N120" t="str">
        <f t="shared" si="5"/>
        <v>No</v>
      </c>
      <c r="O120">
        <f>SUMIF('raw data'!B$2:B$501,B120,'raw data'!I$2:I$501)</f>
        <v>2548.3000000000002</v>
      </c>
      <c r="P120" t="str">
        <f>IF(OR(I120&lt;Visualization!$B$6,I120&gt;Visualization!$B$7),"Outlier","Normal")</f>
        <v>Outlier</v>
      </c>
    </row>
    <row r="121" spans="1:16" x14ac:dyDescent="0.35">
      <c r="A121" s="6" t="s">
        <v>128</v>
      </c>
      <c r="B121" s="15">
        <v>45025</v>
      </c>
      <c r="C121" s="6" t="s">
        <v>557</v>
      </c>
      <c r="D121" s="6" t="s">
        <v>610</v>
      </c>
      <c r="E121" s="6" t="s">
        <v>654</v>
      </c>
      <c r="F121" s="6">
        <v>3</v>
      </c>
      <c r="G121" s="6">
        <v>499</v>
      </c>
      <c r="H121" s="6">
        <v>10</v>
      </c>
      <c r="I121" s="6">
        <v>1347.3</v>
      </c>
      <c r="J121" s="6" t="str">
        <f>IF(I121&gt;formulas!$B$5,"yes","no")</f>
        <v>no</v>
      </c>
      <c r="K121" s="6" t="str">
        <f t="shared" si="3"/>
        <v>yes</v>
      </c>
      <c r="L121" s="6" t="str">
        <f>IF(COUNTIF('raw data'!$B$2:$B$501,B121)&gt;1,"Yes","No")</f>
        <v>Yes</v>
      </c>
      <c r="M121" t="str">
        <f t="shared" si="4"/>
        <v>no</v>
      </c>
      <c r="N121" t="str">
        <f t="shared" si="5"/>
        <v>No</v>
      </c>
      <c r="O121">
        <f>SUMIF('raw data'!B$2:B$501,B121,'raw data'!I$2:I$501)</f>
        <v>14336.099999999999</v>
      </c>
      <c r="P121" t="str">
        <f>IF(OR(I121&lt;Visualization!$B$6,I121&gt;Visualization!$B$7),"Outlier","Normal")</f>
        <v>Outlier</v>
      </c>
    </row>
    <row r="122" spans="1:16" x14ac:dyDescent="0.35">
      <c r="A122" s="6" t="s">
        <v>129</v>
      </c>
      <c r="B122" s="15">
        <v>45098</v>
      </c>
      <c r="C122" s="6" t="s">
        <v>538</v>
      </c>
      <c r="D122" s="6" t="s">
        <v>613</v>
      </c>
      <c r="E122" s="6" t="s">
        <v>680</v>
      </c>
      <c r="F122" s="6">
        <v>3</v>
      </c>
      <c r="G122" s="6">
        <v>499</v>
      </c>
      <c r="H122" s="6">
        <v>0</v>
      </c>
      <c r="I122" s="6">
        <v>1497</v>
      </c>
      <c r="J122" s="6" t="str">
        <f>IF(I122&gt;formulas!$B$5,"yes","no")</f>
        <v>yes</v>
      </c>
      <c r="K122" s="6" t="str">
        <f t="shared" si="3"/>
        <v>no</v>
      </c>
      <c r="L122" s="6" t="str">
        <f>IF(COUNTIF('raw data'!$B$2:$B$501,B122)&gt;1,"Yes","No")</f>
        <v>Yes</v>
      </c>
      <c r="M122" t="str">
        <f t="shared" si="4"/>
        <v>no</v>
      </c>
      <c r="N122" t="str">
        <f t="shared" si="5"/>
        <v>Yes</v>
      </c>
      <c r="O122">
        <f>SUMIF('raw data'!B$2:B$501,B122,'raw data'!I$2:I$501)</f>
        <v>2452.1999999999998</v>
      </c>
      <c r="P122" t="str">
        <f>IF(OR(I122&lt;Visualization!$B$6,I122&gt;Visualization!$B$7),"Outlier","Normal")</f>
        <v>Outlier</v>
      </c>
    </row>
    <row r="123" spans="1:16" x14ac:dyDescent="0.35">
      <c r="A123" s="6" t="s">
        <v>130</v>
      </c>
      <c r="B123" s="15">
        <v>45286</v>
      </c>
      <c r="C123" s="6" t="s">
        <v>530</v>
      </c>
      <c r="D123" s="6" t="s">
        <v>612</v>
      </c>
      <c r="E123" s="6" t="s">
        <v>662</v>
      </c>
      <c r="F123" s="6">
        <v>2</v>
      </c>
      <c r="G123" s="6">
        <v>1999</v>
      </c>
      <c r="H123" s="6">
        <v>5</v>
      </c>
      <c r="I123" s="6">
        <v>3798.1</v>
      </c>
      <c r="J123" s="6" t="str">
        <f>IF(I123&gt;formulas!$B$5,"yes","no")</f>
        <v>yes</v>
      </c>
      <c r="K123" s="6" t="str">
        <f t="shared" si="3"/>
        <v>yes</v>
      </c>
      <c r="L123" s="6" t="str">
        <f>IF(COUNTIF('raw data'!$B$2:$B$501,B123)&gt;1,"Yes","No")</f>
        <v>Yes</v>
      </c>
      <c r="M123" t="str">
        <f t="shared" si="4"/>
        <v>no</v>
      </c>
      <c r="N123" t="str">
        <f t="shared" si="5"/>
        <v>Yes</v>
      </c>
      <c r="O123">
        <f>SUMIF('raw data'!B$2:B$501,B123,'raw data'!I$2:I$501)</f>
        <v>11794.1</v>
      </c>
      <c r="P123" t="str">
        <f>IF(OR(I123&lt;Visualization!$B$6,I123&gt;Visualization!$B$7),"Outlier","Normal")</f>
        <v>Outlier</v>
      </c>
    </row>
    <row r="124" spans="1:16" x14ac:dyDescent="0.35">
      <c r="A124" s="6" t="s">
        <v>131</v>
      </c>
      <c r="B124" s="15">
        <v>45140</v>
      </c>
      <c r="C124" s="6" t="s">
        <v>528</v>
      </c>
      <c r="D124" s="6" t="s">
        <v>609</v>
      </c>
      <c r="E124" s="6" t="s">
        <v>621</v>
      </c>
      <c r="F124" s="6">
        <v>4</v>
      </c>
      <c r="G124" s="6">
        <v>299</v>
      </c>
      <c r="H124" s="6">
        <v>0</v>
      </c>
      <c r="I124" s="6">
        <v>1196</v>
      </c>
      <c r="J124" s="6" t="str">
        <f>IF(I124&gt;formulas!$B$5,"yes","no")</f>
        <v>no</v>
      </c>
      <c r="K124" s="6" t="str">
        <f t="shared" si="3"/>
        <v>no</v>
      </c>
      <c r="L124" s="6" t="str">
        <f>IF(COUNTIF('raw data'!$B$2:$B$501,B124)&gt;1,"Yes","No")</f>
        <v>No</v>
      </c>
      <c r="M124" t="str">
        <f t="shared" si="4"/>
        <v>no</v>
      </c>
      <c r="N124" t="str">
        <f t="shared" si="5"/>
        <v>No</v>
      </c>
      <c r="O124">
        <f>SUMIF('raw data'!B$2:B$501,B124,'raw data'!I$2:I$501)</f>
        <v>1196</v>
      </c>
      <c r="P124" t="str">
        <f>IF(OR(I124&lt;Visualization!$B$6,I124&gt;Visualization!$B$7),"Outlier","Normal")</f>
        <v>Outlier</v>
      </c>
    </row>
    <row r="125" spans="1:16" x14ac:dyDescent="0.35">
      <c r="A125" s="6" t="s">
        <v>132</v>
      </c>
      <c r="B125" s="15">
        <v>44961</v>
      </c>
      <c r="C125" s="6" t="s">
        <v>524</v>
      </c>
      <c r="D125" s="6" t="s">
        <v>609</v>
      </c>
      <c r="E125" s="6" t="s">
        <v>681</v>
      </c>
      <c r="F125" s="6">
        <v>2</v>
      </c>
      <c r="G125" s="6">
        <v>1999</v>
      </c>
      <c r="H125" s="6">
        <v>20</v>
      </c>
      <c r="I125" s="6">
        <v>3198.4</v>
      </c>
      <c r="J125" s="6" t="str">
        <f>IF(I125&gt;formulas!$B$5,"yes","no")</f>
        <v>yes</v>
      </c>
      <c r="K125" s="6" t="str">
        <f t="shared" si="3"/>
        <v>yes</v>
      </c>
      <c r="L125" s="6" t="str">
        <f>IF(COUNTIF('raw data'!$B$2:$B$501,B125)&gt;1,"Yes","No")</f>
        <v>Yes</v>
      </c>
      <c r="M125" t="str">
        <f t="shared" si="4"/>
        <v>yes</v>
      </c>
      <c r="N125" t="str">
        <f t="shared" si="5"/>
        <v>Yes</v>
      </c>
      <c r="O125">
        <f>SUMIF('raw data'!B$2:B$501,B125,'raw data'!I$2:I$501)</f>
        <v>4197.3999999999996</v>
      </c>
      <c r="P125" t="str">
        <f>IF(OR(I125&lt;Visualization!$B$6,I125&gt;Visualization!$B$7),"Outlier","Normal")</f>
        <v>Outlier</v>
      </c>
    </row>
    <row r="126" spans="1:16" x14ac:dyDescent="0.35">
      <c r="A126" s="6" t="s">
        <v>133</v>
      </c>
      <c r="B126" s="15">
        <v>45153</v>
      </c>
      <c r="C126" s="6" t="s">
        <v>576</v>
      </c>
      <c r="D126" s="6" t="s">
        <v>609</v>
      </c>
      <c r="E126" s="6" t="s">
        <v>665</v>
      </c>
      <c r="F126" s="6">
        <v>4</v>
      </c>
      <c r="G126" s="6">
        <v>1499</v>
      </c>
      <c r="H126" s="6">
        <v>15</v>
      </c>
      <c r="I126" s="6">
        <v>5096.5999999999995</v>
      </c>
      <c r="J126" s="6" t="str">
        <f>IF(I126&gt;formulas!$B$5,"yes","no")</f>
        <v>yes</v>
      </c>
      <c r="K126" s="6" t="str">
        <f t="shared" si="3"/>
        <v>yes</v>
      </c>
      <c r="L126" s="6" t="str">
        <f>IF(COUNTIF('raw data'!$B$2:$B$501,B126)&gt;1,"Yes","No")</f>
        <v>Yes</v>
      </c>
      <c r="M126" t="str">
        <f t="shared" si="4"/>
        <v>no</v>
      </c>
      <c r="N126" t="str">
        <f t="shared" si="5"/>
        <v>Yes</v>
      </c>
      <c r="O126">
        <f>SUMIF('raw data'!B$2:B$501,B126,'raw data'!I$2:I$501)</f>
        <v>5096.5999999999995</v>
      </c>
      <c r="P126" t="str">
        <f>IF(OR(I126&lt;Visualization!$B$6,I126&gt;Visualization!$B$7),"Outlier","Normal")</f>
        <v>Outlier</v>
      </c>
    </row>
    <row r="127" spans="1:16" x14ac:dyDescent="0.35">
      <c r="A127" s="6" t="s">
        <v>134</v>
      </c>
      <c r="B127" s="15">
        <v>45027</v>
      </c>
      <c r="C127" s="6" t="s">
        <v>563</v>
      </c>
      <c r="D127" s="6" t="s">
        <v>610</v>
      </c>
      <c r="E127" s="6" t="s">
        <v>668</v>
      </c>
      <c r="F127" s="6">
        <v>1</v>
      </c>
      <c r="G127" s="6">
        <v>1999</v>
      </c>
      <c r="H127" s="6"/>
      <c r="I127" s="6">
        <v>1999</v>
      </c>
      <c r="J127" s="6" t="str">
        <f>IF(I127&gt;formulas!$B$5,"yes","no")</f>
        <v>yes</v>
      </c>
      <c r="K127" s="6" t="str">
        <f t="shared" si="3"/>
        <v>no</v>
      </c>
      <c r="L127" s="6" t="str">
        <f>IF(COUNTIF('raw data'!$B$2:$B$501,B127)&gt;1,"Yes","No")</f>
        <v>Yes</v>
      </c>
      <c r="M127" t="str">
        <f t="shared" si="4"/>
        <v>no</v>
      </c>
      <c r="N127" t="str">
        <f t="shared" si="5"/>
        <v>Yes</v>
      </c>
      <c r="O127">
        <f>SUMIF('raw data'!B$2:B$501,B127,'raw data'!I$2:I$501)</f>
        <v>8993</v>
      </c>
      <c r="P127" t="str">
        <f>IF(OR(I127&lt;Visualization!$B$6,I127&gt;Visualization!$B$7),"Outlier","Normal")</f>
        <v>Outlier</v>
      </c>
    </row>
    <row r="128" spans="1:16" x14ac:dyDescent="0.35">
      <c r="A128" s="6" t="s">
        <v>135</v>
      </c>
      <c r="B128" s="15">
        <v>45057</v>
      </c>
      <c r="C128" s="6" t="s">
        <v>516</v>
      </c>
      <c r="D128" s="6" t="s">
        <v>610</v>
      </c>
      <c r="E128" s="6" t="s">
        <v>682</v>
      </c>
      <c r="F128" s="6"/>
      <c r="G128" s="6">
        <v>1499</v>
      </c>
      <c r="H128" s="6">
        <v>15</v>
      </c>
      <c r="I128" s="6"/>
      <c r="J128" s="6" t="str">
        <f>IF(I128&gt;formulas!$B$5,"yes","no")</f>
        <v>no</v>
      </c>
      <c r="K128" s="6" t="str">
        <f t="shared" si="3"/>
        <v>yes</v>
      </c>
      <c r="L128" s="6" t="str">
        <f>IF(COUNTIF('raw data'!$B$2:$B$501,B128)&gt;1,"Yes","No")</f>
        <v>Yes</v>
      </c>
      <c r="M128" t="str">
        <f t="shared" si="4"/>
        <v>no</v>
      </c>
      <c r="N128" t="str">
        <f t="shared" si="5"/>
        <v>No</v>
      </c>
      <c r="O128">
        <f>SUMIF('raw data'!B$2:B$501,B128,'raw data'!I$2:I$501)</f>
        <v>2495</v>
      </c>
      <c r="P128" t="str">
        <f>IF(OR(I128&lt;Visualization!$B$6,I128&gt;Visualization!$B$7),"Outlier","Normal")</f>
        <v>Normal</v>
      </c>
    </row>
    <row r="129" spans="1:16" x14ac:dyDescent="0.35">
      <c r="A129" s="6" t="s">
        <v>136</v>
      </c>
      <c r="B129" s="15">
        <v>45183</v>
      </c>
      <c r="C129" s="6" t="s">
        <v>580</v>
      </c>
      <c r="D129" s="6" t="s">
        <v>612</v>
      </c>
      <c r="E129" s="6" t="s">
        <v>642</v>
      </c>
      <c r="F129" s="6">
        <v>3</v>
      </c>
      <c r="G129" s="6">
        <v>499</v>
      </c>
      <c r="H129" s="6"/>
      <c r="I129" s="6">
        <v>1497</v>
      </c>
      <c r="J129" s="6" t="str">
        <f>IF(I129&gt;formulas!$B$5,"yes","no")</f>
        <v>yes</v>
      </c>
      <c r="K129" s="6" t="str">
        <f t="shared" si="3"/>
        <v>no</v>
      </c>
      <c r="L129" s="6" t="str">
        <f>IF(COUNTIF('raw data'!$B$2:$B$501,B129)&gt;1,"Yes","No")</f>
        <v>Yes</v>
      </c>
      <c r="M129" t="str">
        <f t="shared" si="4"/>
        <v>no</v>
      </c>
      <c r="N129" t="str">
        <f t="shared" si="5"/>
        <v>Yes</v>
      </c>
      <c r="O129">
        <f>SUMIF('raw data'!B$2:B$501,B129,'raw data'!I$2:I$501)</f>
        <v>2994</v>
      </c>
      <c r="P129" t="str">
        <f>IF(OR(I129&lt;Visualization!$B$6,I129&gt;Visualization!$B$7),"Outlier","Normal")</f>
        <v>Outlier</v>
      </c>
    </row>
    <row r="130" spans="1:16" x14ac:dyDescent="0.35">
      <c r="A130" s="6" t="s">
        <v>137</v>
      </c>
      <c r="B130" s="15">
        <v>44931</v>
      </c>
      <c r="C130" s="6" t="s">
        <v>581</v>
      </c>
      <c r="D130" s="6" t="s">
        <v>609</v>
      </c>
      <c r="E130" s="6" t="s">
        <v>672</v>
      </c>
      <c r="F130" s="6">
        <v>2</v>
      </c>
      <c r="G130" s="6">
        <v>299</v>
      </c>
      <c r="H130" s="6">
        <v>0</v>
      </c>
      <c r="I130" s="6">
        <v>598</v>
      </c>
      <c r="J130" s="6" t="str">
        <f>IF(I130&gt;formulas!$B$5,"yes","no")</f>
        <v>no</v>
      </c>
      <c r="K130" s="6" t="str">
        <f t="shared" si="3"/>
        <v>no</v>
      </c>
      <c r="L130" s="6" t="str">
        <f>IF(COUNTIF('raw data'!$B$2:$B$501,B130)&gt;1,"Yes","No")</f>
        <v>Yes</v>
      </c>
      <c r="M130" t="str">
        <f t="shared" si="4"/>
        <v>no</v>
      </c>
      <c r="N130" t="str">
        <f t="shared" si="5"/>
        <v>No</v>
      </c>
      <c r="O130">
        <f>SUMIF('raw data'!B$2:B$501,B130,'raw data'!I$2:I$501)</f>
        <v>1794</v>
      </c>
      <c r="P130" t="str">
        <f>IF(OR(I130&lt;Visualization!$B$6,I130&gt;Visualization!$B$7),"Outlier","Normal")</f>
        <v>Outlier</v>
      </c>
    </row>
    <row r="131" spans="1:16" x14ac:dyDescent="0.35">
      <c r="A131" s="6" t="s">
        <v>138</v>
      </c>
      <c r="B131" s="15">
        <v>45144</v>
      </c>
      <c r="C131" s="6" t="s">
        <v>578</v>
      </c>
      <c r="D131" s="6" t="s">
        <v>609</v>
      </c>
      <c r="E131" s="6" t="s">
        <v>674</v>
      </c>
      <c r="F131" s="6">
        <v>1</v>
      </c>
      <c r="G131" s="6">
        <v>1999</v>
      </c>
      <c r="H131" s="6">
        <v>10</v>
      </c>
      <c r="I131" s="6">
        <v>1799.1</v>
      </c>
      <c r="J131" s="6" t="str">
        <f>IF(I131&gt;formulas!$B$5,"yes","no")</f>
        <v>yes</v>
      </c>
      <c r="K131" s="6" t="str">
        <f t="shared" ref="K131:K194" si="6">IF(H131&gt;0,"yes","no")</f>
        <v>yes</v>
      </c>
      <c r="L131" s="6" t="str">
        <f>IF(COUNTIF('raw data'!$B$2:$B$501,B131)&gt;1,"Yes","No")</f>
        <v>Yes</v>
      </c>
      <c r="M131" t="str">
        <f t="shared" ref="M131:M194" si="7">IF(H131&gt;15,"yes","no")</f>
        <v>no</v>
      </c>
      <c r="N131" t="str">
        <f t="shared" ref="N131:N194" si="8">IF(AND(L131="Yes", J131="yes" ),"Yes","No")</f>
        <v>Yes</v>
      </c>
      <c r="O131">
        <f>SUMIF('raw data'!B$2:B$501,B131,'raw data'!I$2:I$501)</f>
        <v>6171.7</v>
      </c>
      <c r="P131" t="str">
        <f>IF(OR(I131&lt;Visualization!$B$6,I131&gt;Visualization!$B$7),"Outlier","Normal")</f>
        <v>Outlier</v>
      </c>
    </row>
    <row r="132" spans="1:16" x14ac:dyDescent="0.35">
      <c r="A132" s="6" t="s">
        <v>139</v>
      </c>
      <c r="B132" s="15">
        <v>45181</v>
      </c>
      <c r="C132" s="6" t="s">
        <v>527</v>
      </c>
      <c r="D132" s="6" t="s">
        <v>613</v>
      </c>
      <c r="E132" s="6" t="s">
        <v>683</v>
      </c>
      <c r="F132" s="6">
        <v>2</v>
      </c>
      <c r="G132" s="6"/>
      <c r="H132" s="6">
        <v>5</v>
      </c>
      <c r="I132" s="6"/>
      <c r="J132" s="6" t="str">
        <f>IF(I132&gt;formulas!$B$5,"yes","no")</f>
        <v>no</v>
      </c>
      <c r="K132" s="6" t="str">
        <f t="shared" si="6"/>
        <v>yes</v>
      </c>
      <c r="L132" s="6" t="str">
        <f>IF(COUNTIF('raw data'!$B$2:$B$501,B132)&gt;1,"Yes","No")</f>
        <v>Yes</v>
      </c>
      <c r="M132" t="str">
        <f t="shared" si="7"/>
        <v>no</v>
      </c>
      <c r="N132" t="str">
        <f t="shared" si="8"/>
        <v>No</v>
      </c>
      <c r="O132">
        <f>SUMIF('raw data'!B$2:B$501,B132,'raw data'!I$2:I$501)</f>
        <v>2398.4</v>
      </c>
      <c r="P132" t="str">
        <f>IF(OR(I132&lt;Visualization!$B$6,I132&gt;Visualization!$B$7),"Outlier","Normal")</f>
        <v>Normal</v>
      </c>
    </row>
    <row r="133" spans="1:16" x14ac:dyDescent="0.35">
      <c r="A133" s="6" t="s">
        <v>140</v>
      </c>
      <c r="B133" s="15">
        <v>45285</v>
      </c>
      <c r="C133" s="6" t="s">
        <v>554</v>
      </c>
      <c r="D133" s="6" t="s">
        <v>610</v>
      </c>
      <c r="E133" s="6" t="s">
        <v>684</v>
      </c>
      <c r="F133" s="6">
        <v>1</v>
      </c>
      <c r="G133" s="6">
        <v>199</v>
      </c>
      <c r="H133" s="6">
        <v>15</v>
      </c>
      <c r="I133" s="6">
        <v>169.15</v>
      </c>
      <c r="J133" s="6" t="str">
        <f>IF(I133&gt;formulas!$B$5,"yes","no")</f>
        <v>no</v>
      </c>
      <c r="K133" s="6" t="str">
        <f t="shared" si="6"/>
        <v>yes</v>
      </c>
      <c r="L133" s="6" t="str">
        <f>IF(COUNTIF('raw data'!$B$2:$B$501,B133)&gt;1,"Yes","No")</f>
        <v>Yes</v>
      </c>
      <c r="M133" t="str">
        <f t="shared" si="7"/>
        <v>no</v>
      </c>
      <c r="N133" t="str">
        <f t="shared" si="8"/>
        <v>No</v>
      </c>
      <c r="O133">
        <f>SUMIF('raw data'!B$2:B$501,B133,'raw data'!I$2:I$501)</f>
        <v>1668.15</v>
      </c>
      <c r="P133" t="str">
        <f>IF(OR(I133&lt;Visualization!$B$6,I133&gt;Visualization!$B$7),"Outlier","Normal")</f>
        <v>Outlier</v>
      </c>
    </row>
    <row r="134" spans="1:16" x14ac:dyDescent="0.35">
      <c r="A134" s="6" t="s">
        <v>141</v>
      </c>
      <c r="B134" s="15">
        <v>45209</v>
      </c>
      <c r="C134" s="6" t="s">
        <v>582</v>
      </c>
      <c r="D134" s="6" t="s">
        <v>609</v>
      </c>
      <c r="E134" s="6" t="s">
        <v>662</v>
      </c>
      <c r="F134" s="6">
        <v>1</v>
      </c>
      <c r="G134" s="6">
        <v>999</v>
      </c>
      <c r="H134" s="6">
        <v>20</v>
      </c>
      <c r="I134" s="6">
        <v>799.2</v>
      </c>
      <c r="J134" s="6" t="str">
        <f>IF(I134&gt;formulas!$B$5,"yes","no")</f>
        <v>no</v>
      </c>
      <c r="K134" s="6" t="str">
        <f t="shared" si="6"/>
        <v>yes</v>
      </c>
      <c r="L134" s="6" t="str">
        <f>IF(COUNTIF('raw data'!$B$2:$B$501,B134)&gt;1,"Yes","No")</f>
        <v>Yes</v>
      </c>
      <c r="M134" t="str">
        <f t="shared" si="7"/>
        <v>yes</v>
      </c>
      <c r="N134" t="str">
        <f t="shared" si="8"/>
        <v>No</v>
      </c>
      <c r="O134">
        <f>SUMIF('raw data'!B$2:B$501,B134,'raw data'!I$2:I$501)</f>
        <v>799.2</v>
      </c>
      <c r="P134" t="str">
        <f>IF(OR(I134&lt;Visualization!$B$6,I134&gt;Visualization!$B$7),"Outlier","Normal")</f>
        <v>Outlier</v>
      </c>
    </row>
    <row r="135" spans="1:16" x14ac:dyDescent="0.35">
      <c r="A135" s="6" t="s">
        <v>142</v>
      </c>
      <c r="B135" s="15">
        <v>45133</v>
      </c>
      <c r="C135" s="6" t="s">
        <v>568</v>
      </c>
      <c r="D135" s="6" t="s">
        <v>612</v>
      </c>
      <c r="E135" s="6" t="s">
        <v>685</v>
      </c>
      <c r="F135" s="6">
        <v>3</v>
      </c>
      <c r="G135" s="6"/>
      <c r="H135" s="6"/>
      <c r="I135" s="6"/>
      <c r="J135" s="6" t="str">
        <f>IF(I135&gt;formulas!$B$5,"yes","no")</f>
        <v>no</v>
      </c>
      <c r="K135" s="6" t="str">
        <f t="shared" si="6"/>
        <v>no</v>
      </c>
      <c r="L135" s="6" t="str">
        <f>IF(COUNTIF('raw data'!$B$2:$B$501,B135)&gt;1,"Yes","No")</f>
        <v>No</v>
      </c>
      <c r="M135" t="str">
        <f t="shared" si="7"/>
        <v>no</v>
      </c>
      <c r="N135" t="str">
        <f t="shared" si="8"/>
        <v>No</v>
      </c>
      <c r="O135">
        <f>SUMIF('raw data'!B$2:B$501,B135,'raw data'!I$2:I$501)</f>
        <v>0</v>
      </c>
      <c r="P135" t="str">
        <f>IF(OR(I135&lt;Visualization!$B$6,I135&gt;Visualization!$B$7),"Outlier","Normal")</f>
        <v>Normal</v>
      </c>
    </row>
    <row r="136" spans="1:16" x14ac:dyDescent="0.35">
      <c r="A136" s="6" t="s">
        <v>143</v>
      </c>
      <c r="B136" s="15">
        <v>44941</v>
      </c>
      <c r="C136" s="6" t="s">
        <v>534</v>
      </c>
      <c r="D136" s="6" t="s">
        <v>612</v>
      </c>
      <c r="E136" s="6" t="s">
        <v>652</v>
      </c>
      <c r="F136" s="6">
        <v>2</v>
      </c>
      <c r="G136" s="6">
        <v>499</v>
      </c>
      <c r="H136" s="6">
        <v>20</v>
      </c>
      <c r="I136" s="6">
        <v>798.40000000000009</v>
      </c>
      <c r="J136" s="6" t="str">
        <f>IF(I136&gt;formulas!$B$5,"yes","no")</f>
        <v>no</v>
      </c>
      <c r="K136" s="6" t="str">
        <f t="shared" si="6"/>
        <v>yes</v>
      </c>
      <c r="L136" s="6" t="str">
        <f>IF(COUNTIF('raw data'!$B$2:$B$501,B136)&gt;1,"Yes","No")</f>
        <v>Yes</v>
      </c>
      <c r="M136" t="str">
        <f t="shared" si="7"/>
        <v>yes</v>
      </c>
      <c r="N136" t="str">
        <f t="shared" si="8"/>
        <v>No</v>
      </c>
      <c r="O136">
        <f>SUMIF('raw data'!B$2:B$501,B136,'raw data'!I$2:I$501)</f>
        <v>2396.8000000000002</v>
      </c>
      <c r="P136" t="str">
        <f>IF(OR(I136&lt;Visualization!$B$6,I136&gt;Visualization!$B$7),"Outlier","Normal")</f>
        <v>Outlier</v>
      </c>
    </row>
    <row r="137" spans="1:16" x14ac:dyDescent="0.35">
      <c r="A137" s="6" t="s">
        <v>144</v>
      </c>
      <c r="B137" s="15">
        <v>45272</v>
      </c>
      <c r="C137" s="6" t="s">
        <v>523</v>
      </c>
      <c r="D137" s="6" t="s">
        <v>609</v>
      </c>
      <c r="E137" s="6" t="s">
        <v>680</v>
      </c>
      <c r="F137" s="6">
        <v>3</v>
      </c>
      <c r="G137" s="6">
        <v>999</v>
      </c>
      <c r="H137" s="6">
        <v>10</v>
      </c>
      <c r="I137" s="6">
        <v>2697.3</v>
      </c>
      <c r="J137" s="6" t="str">
        <f>IF(I137&gt;formulas!$B$5,"yes","no")</f>
        <v>yes</v>
      </c>
      <c r="K137" s="6" t="str">
        <f t="shared" si="6"/>
        <v>yes</v>
      </c>
      <c r="L137" s="6" t="str">
        <f>IF(COUNTIF('raw data'!$B$2:$B$501,B137)&gt;1,"Yes","No")</f>
        <v>Yes</v>
      </c>
      <c r="M137" t="str">
        <f t="shared" si="7"/>
        <v>no</v>
      </c>
      <c r="N137" t="str">
        <f t="shared" si="8"/>
        <v>Yes</v>
      </c>
      <c r="O137">
        <f>SUMIF('raw data'!B$2:B$501,B137,'raw data'!I$2:I$501)</f>
        <v>3653.7</v>
      </c>
      <c r="P137" t="str">
        <f>IF(OR(I137&lt;Visualization!$B$6,I137&gt;Visualization!$B$7),"Outlier","Normal")</f>
        <v>Outlier</v>
      </c>
    </row>
    <row r="138" spans="1:16" x14ac:dyDescent="0.35">
      <c r="A138" s="6" t="s">
        <v>145</v>
      </c>
      <c r="B138" s="15">
        <v>44968</v>
      </c>
      <c r="C138" s="6" t="s">
        <v>558</v>
      </c>
      <c r="D138" s="6" t="s">
        <v>610</v>
      </c>
      <c r="E138" s="6" t="s">
        <v>686</v>
      </c>
      <c r="F138" s="6">
        <v>5</v>
      </c>
      <c r="G138" s="6">
        <v>199</v>
      </c>
      <c r="H138" s="6"/>
      <c r="I138" s="6">
        <v>995</v>
      </c>
      <c r="J138" s="6" t="str">
        <f>IF(I138&gt;formulas!$B$5,"yes","no")</f>
        <v>no</v>
      </c>
      <c r="K138" s="6" t="str">
        <f t="shared" si="6"/>
        <v>no</v>
      </c>
      <c r="L138" s="6" t="str">
        <f>IF(COUNTIF('raw data'!$B$2:$B$501,B138)&gt;1,"Yes","No")</f>
        <v>No</v>
      </c>
      <c r="M138" t="str">
        <f t="shared" si="7"/>
        <v>no</v>
      </c>
      <c r="N138" t="str">
        <f t="shared" si="8"/>
        <v>No</v>
      </c>
      <c r="O138">
        <f>SUMIF('raw data'!B$2:B$501,B138,'raw data'!I$2:I$501)</f>
        <v>995</v>
      </c>
      <c r="P138" t="str">
        <f>IF(OR(I138&lt;Visualization!$B$6,I138&gt;Visualization!$B$7),"Outlier","Normal")</f>
        <v>Outlier</v>
      </c>
    </row>
    <row r="139" spans="1:16" x14ac:dyDescent="0.35">
      <c r="A139" s="6" t="s">
        <v>146</v>
      </c>
      <c r="B139" s="15">
        <v>45105</v>
      </c>
      <c r="C139" s="6" t="s">
        <v>557</v>
      </c>
      <c r="D139" s="6" t="s">
        <v>612</v>
      </c>
      <c r="E139" s="6" t="s">
        <v>619</v>
      </c>
      <c r="F139" s="6">
        <v>2</v>
      </c>
      <c r="G139" s="6">
        <v>199</v>
      </c>
      <c r="H139" s="6">
        <v>15</v>
      </c>
      <c r="I139" s="6">
        <v>338.3</v>
      </c>
      <c r="J139" s="6" t="str">
        <f>IF(I139&gt;formulas!$B$5,"yes","no")</f>
        <v>no</v>
      </c>
      <c r="K139" s="6" t="str">
        <f t="shared" si="6"/>
        <v>yes</v>
      </c>
      <c r="L139" s="6" t="str">
        <f>IF(COUNTIF('raw data'!$B$2:$B$501,B139)&gt;1,"Yes","No")</f>
        <v>No</v>
      </c>
      <c r="M139" t="str">
        <f t="shared" si="7"/>
        <v>no</v>
      </c>
      <c r="N139" t="str">
        <f t="shared" si="8"/>
        <v>No</v>
      </c>
      <c r="O139">
        <f>SUMIF('raw data'!B$2:B$501,B139,'raw data'!I$2:I$501)</f>
        <v>338.3</v>
      </c>
      <c r="P139" t="str">
        <f>IF(OR(I139&lt;Visualization!$B$6,I139&gt;Visualization!$B$7),"Outlier","Normal")</f>
        <v>Outlier</v>
      </c>
    </row>
    <row r="140" spans="1:16" x14ac:dyDescent="0.35">
      <c r="A140" s="6" t="s">
        <v>147</v>
      </c>
      <c r="B140" s="15">
        <v>44989</v>
      </c>
      <c r="C140" s="6" t="s">
        <v>564</v>
      </c>
      <c r="D140" s="6" t="s">
        <v>613</v>
      </c>
      <c r="E140" s="6" t="s">
        <v>683</v>
      </c>
      <c r="F140" s="6">
        <v>3</v>
      </c>
      <c r="G140" s="6">
        <v>299</v>
      </c>
      <c r="H140" s="6">
        <v>0</v>
      </c>
      <c r="I140" s="6">
        <v>897</v>
      </c>
      <c r="J140" s="6" t="str">
        <f>IF(I140&gt;formulas!$B$5,"yes","no")</f>
        <v>no</v>
      </c>
      <c r="K140" s="6" t="str">
        <f t="shared" si="6"/>
        <v>no</v>
      </c>
      <c r="L140" s="6" t="str">
        <f>IF(COUNTIF('raw data'!$B$2:$B$501,B140)&gt;1,"Yes","No")</f>
        <v>Yes</v>
      </c>
      <c r="M140" t="str">
        <f t="shared" si="7"/>
        <v>no</v>
      </c>
      <c r="N140" t="str">
        <f t="shared" si="8"/>
        <v>No</v>
      </c>
      <c r="O140">
        <f>SUMIF('raw data'!B$2:B$501,B140,'raw data'!I$2:I$501)</f>
        <v>1895</v>
      </c>
      <c r="P140" t="str">
        <f>IF(OR(I140&lt;Visualization!$B$6,I140&gt;Visualization!$B$7),"Outlier","Normal")</f>
        <v>Outlier</v>
      </c>
    </row>
    <row r="141" spans="1:16" x14ac:dyDescent="0.35">
      <c r="A141" s="6" t="s">
        <v>148</v>
      </c>
      <c r="B141" s="15">
        <v>45278</v>
      </c>
      <c r="C141" s="6" t="s">
        <v>543</v>
      </c>
      <c r="D141" s="6" t="s">
        <v>612</v>
      </c>
      <c r="E141" s="6" t="s">
        <v>650</v>
      </c>
      <c r="F141" s="6">
        <v>1</v>
      </c>
      <c r="G141" s="6">
        <v>999</v>
      </c>
      <c r="H141" s="6">
        <v>20</v>
      </c>
      <c r="I141" s="6">
        <v>799.2</v>
      </c>
      <c r="J141" s="6" t="str">
        <f>IF(I141&gt;formulas!$B$5,"yes","no")</f>
        <v>no</v>
      </c>
      <c r="K141" s="6" t="str">
        <f t="shared" si="6"/>
        <v>yes</v>
      </c>
      <c r="L141" s="6" t="str">
        <f>IF(COUNTIF('raw data'!$B$2:$B$501,B141)&gt;1,"Yes","No")</f>
        <v>Yes</v>
      </c>
      <c r="M141" t="str">
        <f t="shared" si="7"/>
        <v>yes</v>
      </c>
      <c r="N141" t="str">
        <f t="shared" si="8"/>
        <v>No</v>
      </c>
      <c r="O141">
        <f>SUMIF('raw data'!B$2:B$501,B141,'raw data'!I$2:I$501)</f>
        <v>799.2</v>
      </c>
      <c r="P141" t="str">
        <f>IF(OR(I141&lt;Visualization!$B$6,I141&gt;Visualization!$B$7),"Outlier","Normal")</f>
        <v>Outlier</v>
      </c>
    </row>
    <row r="142" spans="1:16" x14ac:dyDescent="0.35">
      <c r="A142" s="6" t="s">
        <v>149</v>
      </c>
      <c r="B142" s="15">
        <v>45157</v>
      </c>
      <c r="C142" s="6" t="s">
        <v>583</v>
      </c>
      <c r="D142" s="6" t="s">
        <v>611</v>
      </c>
      <c r="E142" s="6" t="s">
        <v>687</v>
      </c>
      <c r="F142" s="6">
        <v>3</v>
      </c>
      <c r="G142" s="6">
        <v>299</v>
      </c>
      <c r="H142" s="6">
        <v>10</v>
      </c>
      <c r="I142" s="6">
        <v>807.30000000000007</v>
      </c>
      <c r="J142" s="6" t="str">
        <f>IF(I142&gt;formulas!$B$5,"yes","no")</f>
        <v>no</v>
      </c>
      <c r="K142" s="6" t="str">
        <f t="shared" si="6"/>
        <v>yes</v>
      </c>
      <c r="L142" s="6" t="str">
        <f>IF(COUNTIF('raw data'!$B$2:$B$501,B142)&gt;1,"Yes","No")</f>
        <v>Yes</v>
      </c>
      <c r="M142" t="str">
        <f t="shared" si="7"/>
        <v>no</v>
      </c>
      <c r="N142" t="str">
        <f t="shared" si="8"/>
        <v>No</v>
      </c>
      <c r="O142">
        <f>SUMIF('raw data'!B$2:B$501,B142,'raw data'!I$2:I$501)</f>
        <v>7082.3</v>
      </c>
      <c r="P142" t="str">
        <f>IF(OR(I142&lt;Visualization!$B$6,I142&gt;Visualization!$B$7),"Outlier","Normal")</f>
        <v>Outlier</v>
      </c>
    </row>
    <row r="143" spans="1:16" x14ac:dyDescent="0.35">
      <c r="A143" s="6" t="s">
        <v>150</v>
      </c>
      <c r="B143" s="15">
        <v>45167</v>
      </c>
      <c r="C143" s="6" t="s">
        <v>584</v>
      </c>
      <c r="D143" s="6" t="s">
        <v>611</v>
      </c>
      <c r="E143" s="6" t="s">
        <v>688</v>
      </c>
      <c r="F143" s="6">
        <v>2</v>
      </c>
      <c r="G143" s="6"/>
      <c r="H143" s="6">
        <v>15</v>
      </c>
      <c r="I143" s="6"/>
      <c r="J143" s="6" t="str">
        <f>IF(I143&gt;formulas!$B$5,"yes","no")</f>
        <v>no</v>
      </c>
      <c r="K143" s="6" t="str">
        <f t="shared" si="6"/>
        <v>yes</v>
      </c>
      <c r="L143" s="6" t="str">
        <f>IF(COUNTIF('raw data'!$B$2:$B$501,B143)&gt;1,"Yes","No")</f>
        <v>No</v>
      </c>
      <c r="M143" t="str">
        <f t="shared" si="7"/>
        <v>no</v>
      </c>
      <c r="N143" t="str">
        <f t="shared" si="8"/>
        <v>No</v>
      </c>
      <c r="O143">
        <f>SUMIF('raw data'!B$2:B$501,B143,'raw data'!I$2:I$501)</f>
        <v>0</v>
      </c>
      <c r="P143" t="str">
        <f>IF(OR(I143&lt;Visualization!$B$6,I143&gt;Visualization!$B$7),"Outlier","Normal")</f>
        <v>Normal</v>
      </c>
    </row>
    <row r="144" spans="1:16" x14ac:dyDescent="0.35">
      <c r="A144" s="6" t="s">
        <v>151</v>
      </c>
      <c r="B144" s="15">
        <v>44978</v>
      </c>
      <c r="C144" s="6" t="s">
        <v>542</v>
      </c>
      <c r="D144" s="6" t="s">
        <v>610</v>
      </c>
      <c r="E144" s="6" t="s">
        <v>626</v>
      </c>
      <c r="F144" s="6"/>
      <c r="G144" s="6">
        <v>1499</v>
      </c>
      <c r="H144" s="6">
        <v>15</v>
      </c>
      <c r="I144" s="6"/>
      <c r="J144" s="6" t="str">
        <f>IF(I144&gt;formulas!$B$5,"yes","no")</f>
        <v>no</v>
      </c>
      <c r="K144" s="6" t="str">
        <f t="shared" si="6"/>
        <v>yes</v>
      </c>
      <c r="L144" s="6" t="str">
        <f>IF(COUNTIF('raw data'!$B$2:$B$501,B144)&gt;1,"Yes","No")</f>
        <v>Yes</v>
      </c>
      <c r="M144" t="str">
        <f t="shared" si="7"/>
        <v>no</v>
      </c>
      <c r="N144" t="str">
        <f t="shared" si="8"/>
        <v>No</v>
      </c>
      <c r="O144">
        <f>SUMIF('raw data'!B$2:B$501,B144,'raw data'!I$2:I$501)</f>
        <v>3798.1</v>
      </c>
      <c r="P144" t="str">
        <f>IF(OR(I144&lt;Visualization!$B$6,I144&gt;Visualization!$B$7),"Outlier","Normal")</f>
        <v>Normal</v>
      </c>
    </row>
    <row r="145" spans="1:16" x14ac:dyDescent="0.35">
      <c r="A145" s="6" t="s">
        <v>152</v>
      </c>
      <c r="B145" s="15">
        <v>45022</v>
      </c>
      <c r="C145" s="6" t="s">
        <v>585</v>
      </c>
      <c r="D145" s="6" t="s">
        <v>609</v>
      </c>
      <c r="E145" s="6" t="s">
        <v>634</v>
      </c>
      <c r="F145" s="6">
        <v>4</v>
      </c>
      <c r="G145" s="6">
        <v>1499</v>
      </c>
      <c r="H145" s="6">
        <v>15</v>
      </c>
      <c r="I145" s="6">
        <v>5096.5999999999995</v>
      </c>
      <c r="J145" s="6" t="str">
        <f>IF(I145&gt;formulas!$B$5,"yes","no")</f>
        <v>yes</v>
      </c>
      <c r="K145" s="6" t="str">
        <f t="shared" si="6"/>
        <v>yes</v>
      </c>
      <c r="L145" s="6" t="str">
        <f>IF(COUNTIF('raw data'!$B$2:$B$501,B145)&gt;1,"Yes","No")</f>
        <v>Yes</v>
      </c>
      <c r="M145" t="str">
        <f t="shared" si="7"/>
        <v>no</v>
      </c>
      <c r="N145" t="str">
        <f t="shared" si="8"/>
        <v>Yes</v>
      </c>
      <c r="O145">
        <f>SUMIF('raw data'!B$2:B$501,B145,'raw data'!I$2:I$501)</f>
        <v>7568.65</v>
      </c>
      <c r="P145" t="str">
        <f>IF(OR(I145&lt;Visualization!$B$6,I145&gt;Visualization!$B$7),"Outlier","Normal")</f>
        <v>Outlier</v>
      </c>
    </row>
    <row r="146" spans="1:16" x14ac:dyDescent="0.35">
      <c r="A146" s="6" t="s">
        <v>153</v>
      </c>
      <c r="B146" s="15">
        <v>45148</v>
      </c>
      <c r="C146" s="6" t="s">
        <v>586</v>
      </c>
      <c r="D146" s="6" t="s">
        <v>610</v>
      </c>
      <c r="E146" s="6" t="s">
        <v>689</v>
      </c>
      <c r="F146" s="6">
        <v>2</v>
      </c>
      <c r="G146" s="6">
        <v>1499</v>
      </c>
      <c r="H146" s="6">
        <v>15</v>
      </c>
      <c r="I146" s="6">
        <v>2548.3000000000002</v>
      </c>
      <c r="J146" s="6" t="str">
        <f>IF(I146&gt;formulas!$B$5,"yes","no")</f>
        <v>yes</v>
      </c>
      <c r="K146" s="6" t="str">
        <f t="shared" si="6"/>
        <v>yes</v>
      </c>
      <c r="L146" s="6" t="str">
        <f>IF(COUNTIF('raw data'!$B$2:$B$501,B146)&gt;1,"Yes","No")</f>
        <v>Yes</v>
      </c>
      <c r="M146" t="str">
        <f t="shared" si="7"/>
        <v>no</v>
      </c>
      <c r="N146" t="str">
        <f t="shared" si="8"/>
        <v>Yes</v>
      </c>
      <c r="O146">
        <f>SUMIF('raw data'!B$2:B$501,B146,'raw data'!I$2:I$501)</f>
        <v>6546.3</v>
      </c>
      <c r="P146" t="str">
        <f>IF(OR(I146&lt;Visualization!$B$6,I146&gt;Visualization!$B$7),"Outlier","Normal")</f>
        <v>Outlier</v>
      </c>
    </row>
    <row r="147" spans="1:16" x14ac:dyDescent="0.35">
      <c r="A147" s="6" t="s">
        <v>154</v>
      </c>
      <c r="B147" s="15">
        <v>45157</v>
      </c>
      <c r="C147" s="6" t="s">
        <v>560</v>
      </c>
      <c r="D147" s="6" t="s">
        <v>610</v>
      </c>
      <c r="E147" s="6" t="s">
        <v>619</v>
      </c>
      <c r="F147" s="6">
        <v>1</v>
      </c>
      <c r="G147" s="6">
        <v>999</v>
      </c>
      <c r="H147" s="6"/>
      <c r="I147" s="6">
        <v>999</v>
      </c>
      <c r="J147" s="6" t="str">
        <f>IF(I147&gt;formulas!$B$5,"yes","no")</f>
        <v>no</v>
      </c>
      <c r="K147" s="6" t="str">
        <f t="shared" si="6"/>
        <v>no</v>
      </c>
      <c r="L147" s="6" t="str">
        <f>IF(COUNTIF('raw data'!$B$2:$B$501,B147)&gt;1,"Yes","No")</f>
        <v>Yes</v>
      </c>
      <c r="M147" t="str">
        <f t="shared" si="7"/>
        <v>no</v>
      </c>
      <c r="N147" t="str">
        <f t="shared" si="8"/>
        <v>No</v>
      </c>
      <c r="O147">
        <f>SUMIF('raw data'!B$2:B$501,B147,'raw data'!I$2:I$501)</f>
        <v>7082.3</v>
      </c>
      <c r="P147" t="str">
        <f>IF(OR(I147&lt;Visualization!$B$6,I147&gt;Visualization!$B$7),"Outlier","Normal")</f>
        <v>Outlier</v>
      </c>
    </row>
    <row r="148" spans="1:16" x14ac:dyDescent="0.35">
      <c r="A148" s="6" t="s">
        <v>155</v>
      </c>
      <c r="B148" s="15">
        <v>45163</v>
      </c>
      <c r="C148" s="6" t="s">
        <v>519</v>
      </c>
      <c r="D148" s="6" t="s">
        <v>610</v>
      </c>
      <c r="E148" s="6" t="s">
        <v>690</v>
      </c>
      <c r="F148" s="6">
        <v>4</v>
      </c>
      <c r="G148" s="6">
        <v>1499</v>
      </c>
      <c r="H148" s="6">
        <v>15</v>
      </c>
      <c r="I148" s="6">
        <v>5096.5999999999995</v>
      </c>
      <c r="J148" s="6" t="str">
        <f>IF(I148&gt;formulas!$B$5,"yes","no")</f>
        <v>yes</v>
      </c>
      <c r="K148" s="6" t="str">
        <f t="shared" si="6"/>
        <v>yes</v>
      </c>
      <c r="L148" s="6" t="str">
        <f>IF(COUNTIF('raw data'!$B$2:$B$501,B148)&gt;1,"Yes","No")</f>
        <v>Yes</v>
      </c>
      <c r="M148" t="str">
        <f t="shared" si="7"/>
        <v>no</v>
      </c>
      <c r="N148" t="str">
        <f t="shared" si="8"/>
        <v>Yes</v>
      </c>
      <c r="O148">
        <f>SUMIF('raw data'!B$2:B$501,B148,'raw data'!I$2:I$501)</f>
        <v>17212.349999999999</v>
      </c>
      <c r="P148" t="str">
        <f>IF(OR(I148&lt;Visualization!$B$6,I148&gt;Visualization!$B$7),"Outlier","Normal")</f>
        <v>Outlier</v>
      </c>
    </row>
    <row r="149" spans="1:16" x14ac:dyDescent="0.35">
      <c r="A149" s="6" t="s">
        <v>156</v>
      </c>
      <c r="B149" s="15">
        <v>45069</v>
      </c>
      <c r="C149" s="6" t="s">
        <v>587</v>
      </c>
      <c r="D149" s="6" t="s">
        <v>610</v>
      </c>
      <c r="E149" s="6" t="s">
        <v>673</v>
      </c>
      <c r="F149" s="6">
        <v>4</v>
      </c>
      <c r="G149" s="6"/>
      <c r="H149" s="6">
        <v>20</v>
      </c>
      <c r="I149" s="6"/>
      <c r="J149" s="6" t="str">
        <f>IF(I149&gt;formulas!$B$5,"yes","no")</f>
        <v>no</v>
      </c>
      <c r="K149" s="6" t="str">
        <f t="shared" si="6"/>
        <v>yes</v>
      </c>
      <c r="L149" s="6" t="str">
        <f>IF(COUNTIF('raw data'!$B$2:$B$501,B149)&gt;1,"Yes","No")</f>
        <v>Yes</v>
      </c>
      <c r="M149" t="str">
        <f t="shared" si="7"/>
        <v>yes</v>
      </c>
      <c r="N149" t="str">
        <f t="shared" si="8"/>
        <v>No</v>
      </c>
      <c r="O149">
        <f>SUMIF('raw data'!B$2:B$501,B149,'raw data'!I$2:I$501)</f>
        <v>399.2</v>
      </c>
      <c r="P149" t="str">
        <f>IF(OR(I149&lt;Visualization!$B$6,I149&gt;Visualization!$B$7),"Outlier","Normal")</f>
        <v>Normal</v>
      </c>
    </row>
    <row r="150" spans="1:16" x14ac:dyDescent="0.35">
      <c r="A150" s="6" t="s">
        <v>157</v>
      </c>
      <c r="B150" s="15">
        <v>45097</v>
      </c>
      <c r="C150" s="6" t="s">
        <v>575</v>
      </c>
      <c r="D150" s="6" t="s">
        <v>613</v>
      </c>
      <c r="E150" s="6" t="s">
        <v>653</v>
      </c>
      <c r="F150" s="6">
        <v>1</v>
      </c>
      <c r="G150" s="6">
        <v>299</v>
      </c>
      <c r="H150" s="6">
        <v>10</v>
      </c>
      <c r="I150" s="6">
        <v>269.10000000000002</v>
      </c>
      <c r="J150" s="6" t="str">
        <f>IF(I150&gt;formulas!$B$5,"yes","no")</f>
        <v>no</v>
      </c>
      <c r="K150" s="6" t="str">
        <f t="shared" si="6"/>
        <v>yes</v>
      </c>
      <c r="L150" s="6" t="str">
        <f>IF(COUNTIF('raw data'!$B$2:$B$501,B150)&gt;1,"Yes","No")</f>
        <v>No</v>
      </c>
      <c r="M150" t="str">
        <f t="shared" si="7"/>
        <v>no</v>
      </c>
      <c r="N150" t="str">
        <f t="shared" si="8"/>
        <v>No</v>
      </c>
      <c r="O150">
        <f>SUMIF('raw data'!B$2:B$501,B150,'raw data'!I$2:I$501)</f>
        <v>269.10000000000002</v>
      </c>
      <c r="P150" t="str">
        <f>IF(OR(I150&lt;Visualization!$B$6,I150&gt;Visualization!$B$7),"Outlier","Normal")</f>
        <v>Outlier</v>
      </c>
    </row>
    <row r="151" spans="1:16" x14ac:dyDescent="0.35">
      <c r="A151" s="6" t="s">
        <v>158</v>
      </c>
      <c r="B151" s="15">
        <v>44955</v>
      </c>
      <c r="C151" s="6" t="s">
        <v>512</v>
      </c>
      <c r="D151" s="6" t="s">
        <v>613</v>
      </c>
      <c r="E151" s="6" t="s">
        <v>622</v>
      </c>
      <c r="F151" s="6">
        <v>1</v>
      </c>
      <c r="G151" s="6">
        <v>999</v>
      </c>
      <c r="H151" s="6"/>
      <c r="I151" s="6">
        <v>999</v>
      </c>
      <c r="J151" s="6" t="str">
        <f>IF(I151&gt;formulas!$B$5,"yes","no")</f>
        <v>no</v>
      </c>
      <c r="K151" s="6" t="str">
        <f t="shared" si="6"/>
        <v>no</v>
      </c>
      <c r="L151" s="6" t="str">
        <f>IF(COUNTIF('raw data'!$B$2:$B$501,B151)&gt;1,"Yes","No")</f>
        <v>No</v>
      </c>
      <c r="M151" t="str">
        <f t="shared" si="7"/>
        <v>no</v>
      </c>
      <c r="N151" t="str">
        <f t="shared" si="8"/>
        <v>No</v>
      </c>
      <c r="O151">
        <f>SUMIF('raw data'!B$2:B$501,B151,'raw data'!I$2:I$501)</f>
        <v>999</v>
      </c>
      <c r="P151" t="str">
        <f>IF(OR(I151&lt;Visualization!$B$6,I151&gt;Visualization!$B$7),"Outlier","Normal")</f>
        <v>Outlier</v>
      </c>
    </row>
    <row r="152" spans="1:16" x14ac:dyDescent="0.35">
      <c r="A152" s="6" t="s">
        <v>159</v>
      </c>
      <c r="B152" s="15">
        <v>44962</v>
      </c>
      <c r="C152" s="6" t="s">
        <v>525</v>
      </c>
      <c r="D152" s="6" t="s">
        <v>612</v>
      </c>
      <c r="E152" s="6" t="s">
        <v>681</v>
      </c>
      <c r="F152" s="6">
        <v>4</v>
      </c>
      <c r="G152" s="6">
        <v>299</v>
      </c>
      <c r="H152" s="6">
        <v>15</v>
      </c>
      <c r="I152" s="6">
        <v>1016.6</v>
      </c>
      <c r="J152" s="6" t="str">
        <f>IF(I152&gt;formulas!$B$5,"yes","no")</f>
        <v>no</v>
      </c>
      <c r="K152" s="6" t="str">
        <f t="shared" si="6"/>
        <v>yes</v>
      </c>
      <c r="L152" s="6" t="str">
        <f>IF(COUNTIF('raw data'!$B$2:$B$501,B152)&gt;1,"Yes","No")</f>
        <v>Yes</v>
      </c>
      <c r="M152" t="str">
        <f t="shared" si="7"/>
        <v>no</v>
      </c>
      <c r="N152" t="str">
        <f t="shared" si="8"/>
        <v>No</v>
      </c>
      <c r="O152">
        <f>SUMIF('raw data'!B$2:B$501,B152,'raw data'!I$2:I$501)</f>
        <v>2215.8000000000002</v>
      </c>
      <c r="P152" t="str">
        <f>IF(OR(I152&lt;Visualization!$B$6,I152&gt;Visualization!$B$7),"Outlier","Normal")</f>
        <v>Outlier</v>
      </c>
    </row>
    <row r="153" spans="1:16" x14ac:dyDescent="0.35">
      <c r="A153" s="6" t="s">
        <v>160</v>
      </c>
      <c r="B153" s="15">
        <v>44939</v>
      </c>
      <c r="C153" s="6" t="s">
        <v>533</v>
      </c>
      <c r="D153" s="6" t="s">
        <v>611</v>
      </c>
      <c r="E153" s="6" t="s">
        <v>651</v>
      </c>
      <c r="F153" s="6">
        <v>1</v>
      </c>
      <c r="G153" s="6">
        <v>999</v>
      </c>
      <c r="H153" s="6">
        <v>5</v>
      </c>
      <c r="I153" s="6">
        <v>949.05</v>
      </c>
      <c r="J153" s="6" t="str">
        <f>IF(I153&gt;formulas!$B$5,"yes","no")</f>
        <v>no</v>
      </c>
      <c r="K153" s="6" t="str">
        <f t="shared" si="6"/>
        <v>yes</v>
      </c>
      <c r="L153" s="6" t="str">
        <f>IF(COUNTIF('raw data'!$B$2:$B$501,B153)&gt;1,"Yes","No")</f>
        <v>Yes</v>
      </c>
      <c r="M153" t="str">
        <f t="shared" si="7"/>
        <v>no</v>
      </c>
      <c r="N153" t="str">
        <f t="shared" si="8"/>
        <v>No</v>
      </c>
      <c r="O153">
        <f>SUMIF('raw data'!B$2:B$501,B153,'raw data'!I$2:I$501)</f>
        <v>2085.25</v>
      </c>
      <c r="P153" t="str">
        <f>IF(OR(I153&lt;Visualization!$B$6,I153&gt;Visualization!$B$7),"Outlier","Normal")</f>
        <v>Outlier</v>
      </c>
    </row>
    <row r="154" spans="1:16" x14ac:dyDescent="0.35">
      <c r="A154" s="6" t="s">
        <v>161</v>
      </c>
      <c r="B154" s="15">
        <v>45086</v>
      </c>
      <c r="C154" s="6" t="s">
        <v>560</v>
      </c>
      <c r="D154" s="6" t="s">
        <v>610</v>
      </c>
      <c r="E154" s="6" t="s">
        <v>691</v>
      </c>
      <c r="F154" s="6">
        <v>5</v>
      </c>
      <c r="G154" s="6">
        <v>299</v>
      </c>
      <c r="H154" s="6">
        <v>5</v>
      </c>
      <c r="I154" s="6">
        <v>1420.25</v>
      </c>
      <c r="J154" s="6" t="str">
        <f>IF(I154&gt;formulas!$B$5,"yes","no")</f>
        <v>yes</v>
      </c>
      <c r="K154" s="6" t="str">
        <f t="shared" si="6"/>
        <v>yes</v>
      </c>
      <c r="L154" s="6" t="str">
        <f>IF(COUNTIF('raw data'!$B$2:$B$501,B154)&gt;1,"Yes","No")</f>
        <v>Yes</v>
      </c>
      <c r="M154" t="str">
        <f t="shared" si="7"/>
        <v>no</v>
      </c>
      <c r="N154" t="str">
        <f t="shared" si="8"/>
        <v>Yes</v>
      </c>
      <c r="O154">
        <f>SUMIF('raw data'!B$2:B$501,B154,'raw data'!I$2:I$501)</f>
        <v>2919.25</v>
      </c>
      <c r="P154" t="str">
        <f>IF(OR(I154&lt;Visualization!$B$6,I154&gt;Visualization!$B$7),"Outlier","Normal")</f>
        <v>Outlier</v>
      </c>
    </row>
    <row r="155" spans="1:16" x14ac:dyDescent="0.35">
      <c r="A155" s="6" t="s">
        <v>162</v>
      </c>
      <c r="B155" s="15">
        <v>45253</v>
      </c>
      <c r="C155" s="6" t="s">
        <v>575</v>
      </c>
      <c r="D155" s="6" t="s">
        <v>612</v>
      </c>
      <c r="E155" s="6" t="s">
        <v>627</v>
      </c>
      <c r="F155" s="6">
        <v>2</v>
      </c>
      <c r="G155" s="6">
        <v>199</v>
      </c>
      <c r="H155" s="6">
        <v>10</v>
      </c>
      <c r="I155" s="6">
        <v>358.2</v>
      </c>
      <c r="J155" s="6" t="str">
        <f>IF(I155&gt;formulas!$B$5,"yes","no")</f>
        <v>no</v>
      </c>
      <c r="K155" s="6" t="str">
        <f t="shared" si="6"/>
        <v>yes</v>
      </c>
      <c r="L155" s="6" t="str">
        <f>IF(COUNTIF('raw data'!$B$2:$B$501,B155)&gt;1,"Yes","No")</f>
        <v>Yes</v>
      </c>
      <c r="M155" t="str">
        <f t="shared" si="7"/>
        <v>no</v>
      </c>
      <c r="N155" t="str">
        <f t="shared" si="8"/>
        <v>No</v>
      </c>
      <c r="O155">
        <f>SUMIF('raw data'!B$2:B$501,B155,'raw data'!I$2:I$501)</f>
        <v>1956.6000000000001</v>
      </c>
      <c r="P155" t="str">
        <f>IF(OR(I155&lt;Visualization!$B$6,I155&gt;Visualization!$B$7),"Outlier","Normal")</f>
        <v>Outlier</v>
      </c>
    </row>
    <row r="156" spans="1:16" x14ac:dyDescent="0.35">
      <c r="A156" s="6" t="s">
        <v>163</v>
      </c>
      <c r="B156" s="15">
        <v>45113</v>
      </c>
      <c r="C156" s="6" t="s">
        <v>522</v>
      </c>
      <c r="D156" s="6" t="s">
        <v>611</v>
      </c>
      <c r="E156" s="6" t="s">
        <v>668</v>
      </c>
      <c r="F156" s="6">
        <v>1</v>
      </c>
      <c r="G156" s="6">
        <v>299</v>
      </c>
      <c r="H156" s="6">
        <v>0</v>
      </c>
      <c r="I156" s="6">
        <v>299</v>
      </c>
      <c r="J156" s="6" t="str">
        <f>IF(I156&gt;formulas!$B$5,"yes","no")</f>
        <v>no</v>
      </c>
      <c r="K156" s="6" t="str">
        <f t="shared" si="6"/>
        <v>no</v>
      </c>
      <c r="L156" s="6" t="str">
        <f>IF(COUNTIF('raw data'!$B$2:$B$501,B156)&gt;1,"Yes","No")</f>
        <v>Yes</v>
      </c>
      <c r="M156" t="str">
        <f t="shared" si="7"/>
        <v>no</v>
      </c>
      <c r="N156" t="str">
        <f t="shared" si="8"/>
        <v>No</v>
      </c>
      <c r="O156">
        <f>SUMIF('raw data'!B$2:B$501,B156,'raw data'!I$2:I$501)</f>
        <v>11292</v>
      </c>
      <c r="P156" t="str">
        <f>IF(OR(I156&lt;Visualization!$B$6,I156&gt;Visualization!$B$7),"Outlier","Normal")</f>
        <v>Outlier</v>
      </c>
    </row>
    <row r="157" spans="1:16" x14ac:dyDescent="0.35">
      <c r="A157" s="6" t="s">
        <v>164</v>
      </c>
      <c r="B157" s="15">
        <v>45169</v>
      </c>
      <c r="C157" s="6" t="s">
        <v>583</v>
      </c>
      <c r="D157" s="6" t="s">
        <v>609</v>
      </c>
      <c r="E157" s="6" t="s">
        <v>692</v>
      </c>
      <c r="F157" s="6">
        <v>4</v>
      </c>
      <c r="G157" s="6">
        <v>1499</v>
      </c>
      <c r="H157" s="6">
        <v>0</v>
      </c>
      <c r="I157" s="6">
        <v>5996</v>
      </c>
      <c r="J157" s="6" t="str">
        <f>IF(I157&gt;formulas!$B$5,"yes","no")</f>
        <v>yes</v>
      </c>
      <c r="K157" s="6" t="str">
        <f t="shared" si="6"/>
        <v>no</v>
      </c>
      <c r="L157" s="6" t="str">
        <f>IF(COUNTIF('raw data'!$B$2:$B$501,B157)&gt;1,"Yes","No")</f>
        <v>No</v>
      </c>
      <c r="M157" t="str">
        <f t="shared" si="7"/>
        <v>no</v>
      </c>
      <c r="N157" t="str">
        <f t="shared" si="8"/>
        <v>No</v>
      </c>
      <c r="O157">
        <f>SUMIF('raw data'!B$2:B$501,B157,'raw data'!I$2:I$501)</f>
        <v>5996</v>
      </c>
      <c r="P157" t="str">
        <f>IF(OR(I157&lt;Visualization!$B$6,I157&gt;Visualization!$B$7),"Outlier","Normal")</f>
        <v>Outlier</v>
      </c>
    </row>
    <row r="158" spans="1:16" x14ac:dyDescent="0.35">
      <c r="A158" s="6" t="s">
        <v>165</v>
      </c>
      <c r="B158" s="15">
        <v>45012</v>
      </c>
      <c r="C158" s="6" t="s">
        <v>528</v>
      </c>
      <c r="D158" s="6" t="s">
        <v>613</v>
      </c>
      <c r="E158" s="6" t="s">
        <v>623</v>
      </c>
      <c r="F158" s="6">
        <v>2</v>
      </c>
      <c r="G158" s="6">
        <v>199</v>
      </c>
      <c r="H158" s="6"/>
      <c r="I158" s="6">
        <v>398</v>
      </c>
      <c r="J158" s="6" t="str">
        <f>IF(I158&gt;formulas!$B$5,"yes","no")</f>
        <v>no</v>
      </c>
      <c r="K158" s="6" t="str">
        <f t="shared" si="6"/>
        <v>no</v>
      </c>
      <c r="L158" s="6" t="str">
        <f>IF(COUNTIF('raw data'!$B$2:$B$501,B158)&gt;1,"Yes","No")</f>
        <v>Yes</v>
      </c>
      <c r="M158" t="str">
        <f t="shared" si="7"/>
        <v>no</v>
      </c>
      <c r="N158" t="str">
        <f t="shared" si="8"/>
        <v>No</v>
      </c>
      <c r="O158">
        <f>SUMIF('raw data'!B$2:B$501,B158,'raw data'!I$2:I$501)</f>
        <v>597</v>
      </c>
      <c r="P158" t="str">
        <f>IF(OR(I158&lt;Visualization!$B$6,I158&gt;Visualization!$B$7),"Outlier","Normal")</f>
        <v>Outlier</v>
      </c>
    </row>
    <row r="159" spans="1:16" x14ac:dyDescent="0.35">
      <c r="A159" s="6" t="s">
        <v>166</v>
      </c>
      <c r="B159" s="15">
        <v>45210</v>
      </c>
      <c r="C159" s="6" t="s">
        <v>510</v>
      </c>
      <c r="D159" s="6" t="s">
        <v>611</v>
      </c>
      <c r="E159" s="6" t="s">
        <v>648</v>
      </c>
      <c r="F159" s="6">
        <v>2</v>
      </c>
      <c r="G159" s="6">
        <v>299</v>
      </c>
      <c r="H159" s="6"/>
      <c r="I159" s="6">
        <v>598</v>
      </c>
      <c r="J159" s="6" t="str">
        <f>IF(I159&gt;formulas!$B$5,"yes","no")</f>
        <v>no</v>
      </c>
      <c r="K159" s="6" t="str">
        <f t="shared" si="6"/>
        <v>no</v>
      </c>
      <c r="L159" s="6" t="str">
        <f>IF(COUNTIF('raw data'!$B$2:$B$501,B159)&gt;1,"Yes","No")</f>
        <v>Yes</v>
      </c>
      <c r="M159" t="str">
        <f t="shared" si="7"/>
        <v>no</v>
      </c>
      <c r="N159" t="str">
        <f t="shared" si="8"/>
        <v>No</v>
      </c>
      <c r="O159">
        <f>SUMIF('raw data'!B$2:B$501,B159,'raw data'!I$2:I$501)</f>
        <v>5268.75</v>
      </c>
      <c r="P159" t="str">
        <f>IF(OR(I159&lt;Visualization!$B$6,I159&gt;Visualization!$B$7),"Outlier","Normal")</f>
        <v>Outlier</v>
      </c>
    </row>
    <row r="160" spans="1:16" x14ac:dyDescent="0.35">
      <c r="A160" s="6" t="s">
        <v>167</v>
      </c>
      <c r="B160" s="15">
        <v>44992</v>
      </c>
      <c r="C160" s="6" t="s">
        <v>540</v>
      </c>
      <c r="D160" s="6" t="s">
        <v>609</v>
      </c>
      <c r="E160" s="6" t="s">
        <v>618</v>
      </c>
      <c r="F160" s="6">
        <v>1</v>
      </c>
      <c r="G160" s="6">
        <v>999</v>
      </c>
      <c r="H160" s="6"/>
      <c r="I160" s="6">
        <v>999</v>
      </c>
      <c r="J160" s="6" t="str">
        <f>IF(I160&gt;formulas!$B$5,"yes","no")</f>
        <v>no</v>
      </c>
      <c r="K160" s="6" t="str">
        <f t="shared" si="6"/>
        <v>no</v>
      </c>
      <c r="L160" s="6" t="str">
        <f>IF(COUNTIF('raw data'!$B$2:$B$501,B160)&gt;1,"Yes","No")</f>
        <v>No</v>
      </c>
      <c r="M160" t="str">
        <f t="shared" si="7"/>
        <v>no</v>
      </c>
      <c r="N160" t="str">
        <f t="shared" si="8"/>
        <v>No</v>
      </c>
      <c r="O160">
        <f>SUMIF('raw data'!B$2:B$501,B160,'raw data'!I$2:I$501)</f>
        <v>999</v>
      </c>
      <c r="P160" t="str">
        <f>IF(OR(I160&lt;Visualization!$B$6,I160&gt;Visualization!$B$7),"Outlier","Normal")</f>
        <v>Outlier</v>
      </c>
    </row>
    <row r="161" spans="1:16" x14ac:dyDescent="0.35">
      <c r="A161" s="6" t="s">
        <v>168</v>
      </c>
      <c r="B161" s="15">
        <v>45096</v>
      </c>
      <c r="C161" s="6" t="s">
        <v>588</v>
      </c>
      <c r="D161" s="6" t="s">
        <v>611</v>
      </c>
      <c r="E161" s="6" t="s">
        <v>693</v>
      </c>
      <c r="F161" s="6">
        <v>0</v>
      </c>
      <c r="G161" s="6">
        <v>999</v>
      </c>
      <c r="H161" s="6">
        <v>0</v>
      </c>
      <c r="I161" s="6">
        <v>0</v>
      </c>
      <c r="J161" s="6" t="str">
        <f>IF(I161&gt;formulas!$B$5,"yes","no")</f>
        <v>no</v>
      </c>
      <c r="K161" s="6" t="str">
        <f t="shared" si="6"/>
        <v>no</v>
      </c>
      <c r="L161" s="6" t="str">
        <f>IF(COUNTIF('raw data'!$B$2:$B$501,B161)&gt;1,"Yes","No")</f>
        <v>Yes</v>
      </c>
      <c r="M161" t="str">
        <f t="shared" si="7"/>
        <v>no</v>
      </c>
      <c r="N161" t="str">
        <f t="shared" si="8"/>
        <v>No</v>
      </c>
      <c r="O161">
        <f>SUMIF('raw data'!B$2:B$501,B161,'raw data'!I$2:I$501)</f>
        <v>5689</v>
      </c>
      <c r="P161" t="str">
        <f>IF(OR(I161&lt;Visualization!$B$6,I161&gt;Visualization!$B$7),"Outlier","Normal")</f>
        <v>Normal</v>
      </c>
    </row>
    <row r="162" spans="1:16" x14ac:dyDescent="0.35">
      <c r="A162" s="6" t="s">
        <v>169</v>
      </c>
      <c r="B162" s="15">
        <v>44971</v>
      </c>
      <c r="C162" s="6" t="s">
        <v>510</v>
      </c>
      <c r="D162" s="6" t="s">
        <v>613</v>
      </c>
      <c r="E162" s="6" t="s">
        <v>686</v>
      </c>
      <c r="F162" s="6">
        <v>3</v>
      </c>
      <c r="G162" s="6">
        <v>999</v>
      </c>
      <c r="H162" s="6">
        <v>5</v>
      </c>
      <c r="I162" s="6">
        <v>2847.15</v>
      </c>
      <c r="J162" s="6" t="str">
        <f>IF(I162&gt;formulas!$B$5,"yes","no")</f>
        <v>yes</v>
      </c>
      <c r="K162" s="6" t="str">
        <f t="shared" si="6"/>
        <v>yes</v>
      </c>
      <c r="L162" s="6" t="str">
        <f>IF(COUNTIF('raw data'!$B$2:$B$501,B162)&gt;1,"Yes","No")</f>
        <v>No</v>
      </c>
      <c r="M162" t="str">
        <f t="shared" si="7"/>
        <v>no</v>
      </c>
      <c r="N162" t="str">
        <f t="shared" si="8"/>
        <v>No</v>
      </c>
      <c r="O162">
        <f>SUMIF('raw data'!B$2:B$501,B162,'raw data'!I$2:I$501)</f>
        <v>2847.15</v>
      </c>
      <c r="P162" t="str">
        <f>IF(OR(I162&lt;Visualization!$B$6,I162&gt;Visualization!$B$7),"Outlier","Normal")</f>
        <v>Outlier</v>
      </c>
    </row>
    <row r="163" spans="1:16" x14ac:dyDescent="0.35">
      <c r="A163" s="6" t="s">
        <v>170</v>
      </c>
      <c r="B163" s="15">
        <v>44988</v>
      </c>
      <c r="C163" s="6" t="s">
        <v>589</v>
      </c>
      <c r="D163" s="6" t="s">
        <v>613</v>
      </c>
      <c r="E163" s="6" t="s">
        <v>629</v>
      </c>
      <c r="F163" s="6">
        <v>2</v>
      </c>
      <c r="G163" s="6">
        <v>499</v>
      </c>
      <c r="H163" s="6">
        <v>0</v>
      </c>
      <c r="I163" s="6">
        <v>998</v>
      </c>
      <c r="J163" s="6" t="str">
        <f>IF(I163&gt;formulas!$B$5,"yes","no")</f>
        <v>no</v>
      </c>
      <c r="K163" s="6" t="str">
        <f t="shared" si="6"/>
        <v>no</v>
      </c>
      <c r="L163" s="6" t="str">
        <f>IF(COUNTIF('raw data'!$B$2:$B$501,B163)&gt;1,"Yes","No")</f>
        <v>Yes</v>
      </c>
      <c r="M163" t="str">
        <f t="shared" si="7"/>
        <v>no</v>
      </c>
      <c r="N163" t="str">
        <f t="shared" si="8"/>
        <v>No</v>
      </c>
      <c r="O163">
        <f>SUMIF('raw data'!B$2:B$501,B163,'raw data'!I$2:I$501)</f>
        <v>998</v>
      </c>
      <c r="P163" t="str">
        <f>IF(OR(I163&lt;Visualization!$B$6,I163&gt;Visualization!$B$7),"Outlier","Normal")</f>
        <v>Outlier</v>
      </c>
    </row>
    <row r="164" spans="1:16" x14ac:dyDescent="0.35">
      <c r="A164" s="6" t="s">
        <v>171</v>
      </c>
      <c r="B164" s="15">
        <v>45060</v>
      </c>
      <c r="C164" s="6" t="s">
        <v>519</v>
      </c>
      <c r="D164" s="6" t="s">
        <v>612</v>
      </c>
      <c r="E164" s="6" t="s">
        <v>636</v>
      </c>
      <c r="F164" s="6">
        <v>3</v>
      </c>
      <c r="G164" s="6"/>
      <c r="H164" s="6">
        <v>20</v>
      </c>
      <c r="I164" s="6"/>
      <c r="J164" s="6" t="str">
        <f>IF(I164&gt;formulas!$B$5,"yes","no")</f>
        <v>no</v>
      </c>
      <c r="K164" s="6" t="str">
        <f t="shared" si="6"/>
        <v>yes</v>
      </c>
      <c r="L164" s="6" t="str">
        <f>IF(COUNTIF('raw data'!$B$2:$B$501,B164)&gt;1,"Yes","No")</f>
        <v>No</v>
      </c>
      <c r="M164" t="str">
        <f t="shared" si="7"/>
        <v>yes</v>
      </c>
      <c r="N164" t="str">
        <f t="shared" si="8"/>
        <v>No</v>
      </c>
      <c r="O164">
        <f>SUMIF('raw data'!B$2:B$501,B164,'raw data'!I$2:I$501)</f>
        <v>0</v>
      </c>
      <c r="P164" t="str">
        <f>IF(OR(I164&lt;Visualization!$B$6,I164&gt;Visualization!$B$7),"Outlier","Normal")</f>
        <v>Normal</v>
      </c>
    </row>
    <row r="165" spans="1:16" x14ac:dyDescent="0.35">
      <c r="A165" s="6" t="s">
        <v>172</v>
      </c>
      <c r="B165" s="15">
        <v>45210</v>
      </c>
      <c r="C165" s="6" t="s">
        <v>575</v>
      </c>
      <c r="D165" s="6" t="s">
        <v>610</v>
      </c>
      <c r="E165" s="6" t="s">
        <v>673</v>
      </c>
      <c r="F165" s="6">
        <v>4</v>
      </c>
      <c r="G165" s="6">
        <v>999</v>
      </c>
      <c r="H165" s="6">
        <v>15</v>
      </c>
      <c r="I165" s="6">
        <v>3396.6</v>
      </c>
      <c r="J165" s="6" t="str">
        <f>IF(I165&gt;formulas!$B$5,"yes","no")</f>
        <v>yes</v>
      </c>
      <c r="K165" s="6" t="str">
        <f t="shared" si="6"/>
        <v>yes</v>
      </c>
      <c r="L165" s="6" t="str">
        <f>IF(COUNTIF('raw data'!$B$2:$B$501,B165)&gt;1,"Yes","No")</f>
        <v>Yes</v>
      </c>
      <c r="M165" t="str">
        <f t="shared" si="7"/>
        <v>no</v>
      </c>
      <c r="N165" t="str">
        <f t="shared" si="8"/>
        <v>Yes</v>
      </c>
      <c r="O165">
        <f>SUMIF('raw data'!B$2:B$501,B165,'raw data'!I$2:I$501)</f>
        <v>5268.75</v>
      </c>
      <c r="P165" t="str">
        <f>IF(OR(I165&lt;Visualization!$B$6,I165&gt;Visualization!$B$7),"Outlier","Normal")</f>
        <v>Outlier</v>
      </c>
    </row>
    <row r="166" spans="1:16" x14ac:dyDescent="0.35">
      <c r="A166" s="6" t="s">
        <v>173</v>
      </c>
      <c r="B166" s="15">
        <v>44954</v>
      </c>
      <c r="C166" s="6" t="s">
        <v>590</v>
      </c>
      <c r="D166" s="6" t="s">
        <v>611</v>
      </c>
      <c r="E166" s="6" t="s">
        <v>627</v>
      </c>
      <c r="F166" s="6">
        <v>3</v>
      </c>
      <c r="G166" s="6">
        <v>199</v>
      </c>
      <c r="H166" s="6"/>
      <c r="I166" s="6">
        <v>597</v>
      </c>
      <c r="J166" s="6" t="str">
        <f>IF(I166&gt;formulas!$B$5,"yes","no")</f>
        <v>no</v>
      </c>
      <c r="K166" s="6" t="str">
        <f t="shared" si="6"/>
        <v>no</v>
      </c>
      <c r="L166" s="6" t="str">
        <f>IF(COUNTIF('raw data'!$B$2:$B$501,B166)&gt;1,"Yes","No")</f>
        <v>Yes</v>
      </c>
      <c r="M166" t="str">
        <f t="shared" si="7"/>
        <v>no</v>
      </c>
      <c r="N166" t="str">
        <f t="shared" si="8"/>
        <v>No</v>
      </c>
      <c r="O166">
        <f>SUMIF('raw data'!B$2:B$501,B166,'raw data'!I$2:I$501)</f>
        <v>1553.8000000000002</v>
      </c>
      <c r="P166" t="str">
        <f>IF(OR(I166&lt;Visualization!$B$6,I166&gt;Visualization!$B$7),"Outlier","Normal")</f>
        <v>Outlier</v>
      </c>
    </row>
    <row r="167" spans="1:16" x14ac:dyDescent="0.35">
      <c r="A167" s="6" t="s">
        <v>174</v>
      </c>
      <c r="B167" s="15">
        <v>45034</v>
      </c>
      <c r="C167" s="6" t="s">
        <v>591</v>
      </c>
      <c r="D167" s="6" t="s">
        <v>611</v>
      </c>
      <c r="E167" s="6" t="s">
        <v>621</v>
      </c>
      <c r="F167" s="6">
        <v>1</v>
      </c>
      <c r="G167" s="6">
        <v>999</v>
      </c>
      <c r="H167" s="6">
        <v>5</v>
      </c>
      <c r="I167" s="6">
        <v>949.05</v>
      </c>
      <c r="J167" s="6" t="str">
        <f>IF(I167&gt;formulas!$B$5,"yes","no")</f>
        <v>no</v>
      </c>
      <c r="K167" s="6" t="str">
        <f t="shared" si="6"/>
        <v>yes</v>
      </c>
      <c r="L167" s="6" t="str">
        <f>IF(COUNTIF('raw data'!$B$2:$B$501,B167)&gt;1,"Yes","No")</f>
        <v>Yes</v>
      </c>
      <c r="M167" t="str">
        <f t="shared" si="7"/>
        <v>no</v>
      </c>
      <c r="N167" t="str">
        <f t="shared" si="8"/>
        <v>No</v>
      </c>
      <c r="O167">
        <f>SUMIF('raw data'!B$2:B$501,B167,'raw data'!I$2:I$501)</f>
        <v>8945.0499999999993</v>
      </c>
      <c r="P167" t="str">
        <f>IF(OR(I167&lt;Visualization!$B$6,I167&gt;Visualization!$B$7),"Outlier","Normal")</f>
        <v>Outlier</v>
      </c>
    </row>
    <row r="168" spans="1:16" x14ac:dyDescent="0.35">
      <c r="A168" s="6" t="s">
        <v>175</v>
      </c>
      <c r="B168" s="15">
        <v>44970</v>
      </c>
      <c r="C168" s="6" t="s">
        <v>592</v>
      </c>
      <c r="D168" s="6" t="s">
        <v>609</v>
      </c>
      <c r="E168" s="6" t="s">
        <v>669</v>
      </c>
      <c r="F168" s="6">
        <v>2</v>
      </c>
      <c r="G168" s="6">
        <v>499</v>
      </c>
      <c r="H168" s="6">
        <v>10</v>
      </c>
      <c r="I168" s="6">
        <v>898.2</v>
      </c>
      <c r="J168" s="6" t="str">
        <f>IF(I168&gt;formulas!$B$5,"yes","no")</f>
        <v>no</v>
      </c>
      <c r="K168" s="6" t="str">
        <f t="shared" si="6"/>
        <v>yes</v>
      </c>
      <c r="L168" s="6" t="str">
        <f>IF(COUNTIF('raw data'!$B$2:$B$501,B168)&gt;1,"Yes","No")</f>
        <v>Yes</v>
      </c>
      <c r="M168" t="str">
        <f t="shared" si="7"/>
        <v>no</v>
      </c>
      <c r="N168" t="str">
        <f t="shared" si="8"/>
        <v>No</v>
      </c>
      <c r="O168">
        <f>SUMIF('raw data'!B$2:B$501,B168,'raw data'!I$2:I$501)</f>
        <v>5995.65</v>
      </c>
      <c r="P168" t="str">
        <f>IF(OR(I168&lt;Visualization!$B$6,I168&gt;Visualization!$B$7),"Outlier","Normal")</f>
        <v>Outlier</v>
      </c>
    </row>
    <row r="169" spans="1:16" x14ac:dyDescent="0.35">
      <c r="A169" s="6" t="s">
        <v>176</v>
      </c>
      <c r="B169" s="15">
        <v>45266</v>
      </c>
      <c r="C169" s="6" t="s">
        <v>510</v>
      </c>
      <c r="D169" s="6" t="s">
        <v>613</v>
      </c>
      <c r="E169" s="6" t="s">
        <v>668</v>
      </c>
      <c r="F169" s="6">
        <v>5</v>
      </c>
      <c r="G169" s="6">
        <v>1499</v>
      </c>
      <c r="H169" s="6">
        <v>10</v>
      </c>
      <c r="I169" s="6">
        <v>6745.5</v>
      </c>
      <c r="J169" s="6" t="str">
        <f>IF(I169&gt;formulas!$B$5,"yes","no")</f>
        <v>yes</v>
      </c>
      <c r="K169" s="6" t="str">
        <f t="shared" si="6"/>
        <v>yes</v>
      </c>
      <c r="L169" s="6" t="str">
        <f>IF(COUNTIF('raw data'!$B$2:$B$501,B169)&gt;1,"Yes","No")</f>
        <v>Yes</v>
      </c>
      <c r="M169" t="str">
        <f t="shared" si="7"/>
        <v>no</v>
      </c>
      <c r="N169" t="str">
        <f t="shared" si="8"/>
        <v>Yes</v>
      </c>
      <c r="O169">
        <f>SUMIF('raw data'!B$2:B$501,B169,'raw data'!I$2:I$501)</f>
        <v>11363.95</v>
      </c>
      <c r="P169" t="str">
        <f>IF(OR(I169&lt;Visualization!$B$6,I169&gt;Visualization!$B$7),"Outlier","Normal")</f>
        <v>Outlier</v>
      </c>
    </row>
    <row r="170" spans="1:16" x14ac:dyDescent="0.35">
      <c r="A170" s="6" t="s">
        <v>177</v>
      </c>
      <c r="B170" s="15">
        <v>45212</v>
      </c>
      <c r="C170" s="6" t="s">
        <v>553</v>
      </c>
      <c r="D170" s="6" t="s">
        <v>611</v>
      </c>
      <c r="E170" s="6" t="s">
        <v>663</v>
      </c>
      <c r="F170" s="6">
        <v>4</v>
      </c>
      <c r="G170" s="6">
        <v>199</v>
      </c>
      <c r="H170" s="6">
        <v>15</v>
      </c>
      <c r="I170" s="6">
        <v>676.6</v>
      </c>
      <c r="J170" s="6" t="str">
        <f>IF(I170&gt;formulas!$B$5,"yes","no")</f>
        <v>no</v>
      </c>
      <c r="K170" s="6" t="str">
        <f t="shared" si="6"/>
        <v>yes</v>
      </c>
      <c r="L170" s="6" t="str">
        <f>IF(COUNTIF('raw data'!$B$2:$B$501,B170)&gt;1,"Yes","No")</f>
        <v>Yes</v>
      </c>
      <c r="M170" t="str">
        <f t="shared" si="7"/>
        <v>no</v>
      </c>
      <c r="N170" t="str">
        <f t="shared" si="8"/>
        <v>No</v>
      </c>
      <c r="O170">
        <f>SUMIF('raw data'!B$2:B$501,B170,'raw data'!I$2:I$501)</f>
        <v>2474.8000000000002</v>
      </c>
      <c r="P170" t="str">
        <f>IF(OR(I170&lt;Visualization!$B$6,I170&gt;Visualization!$B$7),"Outlier","Normal")</f>
        <v>Outlier</v>
      </c>
    </row>
    <row r="171" spans="1:16" x14ac:dyDescent="0.35">
      <c r="A171" s="6" t="s">
        <v>178</v>
      </c>
      <c r="B171" s="15">
        <v>45257</v>
      </c>
      <c r="C171" s="6" t="s">
        <v>593</v>
      </c>
      <c r="D171" s="6" t="s">
        <v>613</v>
      </c>
      <c r="E171" s="6" t="s">
        <v>694</v>
      </c>
      <c r="F171" s="6">
        <v>3</v>
      </c>
      <c r="G171" s="6">
        <v>499</v>
      </c>
      <c r="H171" s="6">
        <v>5</v>
      </c>
      <c r="I171" s="6">
        <v>1422.15</v>
      </c>
      <c r="J171" s="6" t="str">
        <f>IF(I171&gt;formulas!$B$5,"yes","no")</f>
        <v>yes</v>
      </c>
      <c r="K171" s="6" t="str">
        <f t="shared" si="6"/>
        <v>yes</v>
      </c>
      <c r="L171" s="6" t="str">
        <f>IF(COUNTIF('raw data'!$B$2:$B$501,B171)&gt;1,"Yes","No")</f>
        <v>Yes</v>
      </c>
      <c r="M171" t="str">
        <f t="shared" si="7"/>
        <v>no</v>
      </c>
      <c r="N171" t="str">
        <f t="shared" si="8"/>
        <v>Yes</v>
      </c>
      <c r="O171">
        <f>SUMIF('raw data'!B$2:B$501,B171,'raw data'!I$2:I$501)</f>
        <v>1780.3500000000001</v>
      </c>
      <c r="P171" t="str">
        <f>IF(OR(I171&lt;Visualization!$B$6,I171&gt;Visualization!$B$7),"Outlier","Normal")</f>
        <v>Outlier</v>
      </c>
    </row>
    <row r="172" spans="1:16" x14ac:dyDescent="0.35">
      <c r="A172" s="6" t="s">
        <v>179</v>
      </c>
      <c r="B172" s="15">
        <v>45054</v>
      </c>
      <c r="C172" s="6" t="s">
        <v>571</v>
      </c>
      <c r="D172" s="6" t="s">
        <v>611</v>
      </c>
      <c r="E172" s="6" t="s">
        <v>615</v>
      </c>
      <c r="F172" s="6">
        <v>1</v>
      </c>
      <c r="G172" s="6">
        <v>1499</v>
      </c>
      <c r="H172" s="6">
        <v>0</v>
      </c>
      <c r="I172" s="6">
        <v>1499</v>
      </c>
      <c r="J172" s="6" t="str">
        <f>IF(I172&gt;formulas!$B$5,"yes","no")</f>
        <v>yes</v>
      </c>
      <c r="K172" s="6" t="str">
        <f t="shared" si="6"/>
        <v>no</v>
      </c>
      <c r="L172" s="6" t="str">
        <f>IF(COUNTIF('raw data'!$B$2:$B$501,B172)&gt;1,"Yes","No")</f>
        <v>Yes</v>
      </c>
      <c r="M172" t="str">
        <f t="shared" si="7"/>
        <v>no</v>
      </c>
      <c r="N172" t="str">
        <f t="shared" si="8"/>
        <v>Yes</v>
      </c>
      <c r="O172">
        <f>SUMIF('raw data'!B$2:B$501,B172,'raw data'!I$2:I$501)</f>
        <v>1897</v>
      </c>
      <c r="P172" t="str">
        <f>IF(OR(I172&lt;Visualization!$B$6,I172&gt;Visualization!$B$7),"Outlier","Normal")</f>
        <v>Outlier</v>
      </c>
    </row>
    <row r="173" spans="1:16" x14ac:dyDescent="0.35">
      <c r="A173" s="6" t="s">
        <v>180</v>
      </c>
      <c r="B173" s="15">
        <v>45274</v>
      </c>
      <c r="C173" s="6" t="s">
        <v>594</v>
      </c>
      <c r="D173" s="6" t="s">
        <v>612</v>
      </c>
      <c r="E173" s="6" t="s">
        <v>634</v>
      </c>
      <c r="F173" s="6">
        <v>2</v>
      </c>
      <c r="G173" s="6">
        <v>1999</v>
      </c>
      <c r="H173" s="6">
        <v>0</v>
      </c>
      <c r="I173" s="6">
        <v>3998</v>
      </c>
      <c r="J173" s="6" t="str">
        <f>IF(I173&gt;formulas!$B$5,"yes","no")</f>
        <v>yes</v>
      </c>
      <c r="K173" s="6" t="str">
        <f t="shared" si="6"/>
        <v>no</v>
      </c>
      <c r="L173" s="6" t="str">
        <f>IF(COUNTIF('raw data'!$B$2:$B$501,B173)&gt;1,"Yes","No")</f>
        <v>No</v>
      </c>
      <c r="M173" t="str">
        <f t="shared" si="7"/>
        <v>no</v>
      </c>
      <c r="N173" t="str">
        <f t="shared" si="8"/>
        <v>No</v>
      </c>
      <c r="O173">
        <f>SUMIF('raw data'!B$2:B$501,B173,'raw data'!I$2:I$501)</f>
        <v>3998</v>
      </c>
      <c r="P173" t="str">
        <f>IF(OR(I173&lt;Visualization!$B$6,I173&gt;Visualization!$B$7),"Outlier","Normal")</f>
        <v>Outlier</v>
      </c>
    </row>
    <row r="174" spans="1:16" x14ac:dyDescent="0.35">
      <c r="A174" s="6" t="s">
        <v>181</v>
      </c>
      <c r="B174" s="15">
        <v>45157</v>
      </c>
      <c r="C174" s="6" t="s">
        <v>518</v>
      </c>
      <c r="D174" s="6" t="s">
        <v>610</v>
      </c>
      <c r="E174" s="6" t="s">
        <v>695</v>
      </c>
      <c r="F174" s="6">
        <v>3</v>
      </c>
      <c r="G174" s="6">
        <v>1999</v>
      </c>
      <c r="H174" s="6">
        <v>20</v>
      </c>
      <c r="I174" s="6">
        <v>4797.6000000000004</v>
      </c>
      <c r="J174" s="6" t="str">
        <f>IF(I174&gt;formulas!$B$5,"yes","no")</f>
        <v>yes</v>
      </c>
      <c r="K174" s="6" t="str">
        <f t="shared" si="6"/>
        <v>yes</v>
      </c>
      <c r="L174" s="6" t="str">
        <f>IF(COUNTIF('raw data'!$B$2:$B$501,B174)&gt;1,"Yes","No")</f>
        <v>Yes</v>
      </c>
      <c r="M174" t="str">
        <f t="shared" si="7"/>
        <v>yes</v>
      </c>
      <c r="N174" t="str">
        <f t="shared" si="8"/>
        <v>Yes</v>
      </c>
      <c r="O174">
        <f>SUMIF('raw data'!B$2:B$501,B174,'raw data'!I$2:I$501)</f>
        <v>7082.3</v>
      </c>
      <c r="P174" t="str">
        <f>IF(OR(I174&lt;Visualization!$B$6,I174&gt;Visualization!$B$7),"Outlier","Normal")</f>
        <v>Outlier</v>
      </c>
    </row>
    <row r="175" spans="1:16" x14ac:dyDescent="0.35">
      <c r="A175" s="6" t="s">
        <v>182</v>
      </c>
      <c r="B175" s="15">
        <v>45116</v>
      </c>
      <c r="C175" s="6" t="s">
        <v>582</v>
      </c>
      <c r="D175" s="6" t="s">
        <v>611</v>
      </c>
      <c r="E175" s="6" t="s">
        <v>656</v>
      </c>
      <c r="F175" s="6">
        <v>4</v>
      </c>
      <c r="G175" s="6">
        <v>199</v>
      </c>
      <c r="H175" s="6">
        <v>20</v>
      </c>
      <c r="I175" s="6">
        <v>636.80000000000007</v>
      </c>
      <c r="J175" s="6" t="str">
        <f>IF(I175&gt;formulas!$B$5,"yes","no")</f>
        <v>no</v>
      </c>
      <c r="K175" s="6" t="str">
        <f t="shared" si="6"/>
        <v>yes</v>
      </c>
      <c r="L175" s="6" t="str">
        <f>IF(COUNTIF('raw data'!$B$2:$B$501,B175)&gt;1,"Yes","No")</f>
        <v>Yes</v>
      </c>
      <c r="M175" t="str">
        <f t="shared" si="7"/>
        <v>yes</v>
      </c>
      <c r="N175" t="str">
        <f t="shared" si="8"/>
        <v>No</v>
      </c>
      <c r="O175">
        <f>SUMIF('raw data'!B$2:B$501,B175,'raw data'!I$2:I$501)</f>
        <v>6729</v>
      </c>
      <c r="P175" t="str">
        <f>IF(OR(I175&lt;Visualization!$B$6,I175&gt;Visualization!$B$7),"Outlier","Normal")</f>
        <v>Outlier</v>
      </c>
    </row>
    <row r="176" spans="1:16" x14ac:dyDescent="0.35">
      <c r="A176" s="6" t="s">
        <v>183</v>
      </c>
      <c r="B176" s="15">
        <v>45151</v>
      </c>
      <c r="C176" s="6" t="s">
        <v>595</v>
      </c>
      <c r="D176" s="6" t="s">
        <v>613</v>
      </c>
      <c r="E176" s="6" t="s">
        <v>633</v>
      </c>
      <c r="F176" s="6">
        <v>3</v>
      </c>
      <c r="G176" s="6">
        <v>299</v>
      </c>
      <c r="H176" s="6">
        <v>0</v>
      </c>
      <c r="I176" s="6">
        <v>897</v>
      </c>
      <c r="J176" s="6" t="str">
        <f>IF(I176&gt;formulas!$B$5,"yes","no")</f>
        <v>no</v>
      </c>
      <c r="K176" s="6" t="str">
        <f t="shared" si="6"/>
        <v>no</v>
      </c>
      <c r="L176" s="6" t="str">
        <f>IF(COUNTIF('raw data'!$B$2:$B$501,B176)&gt;1,"Yes","No")</f>
        <v>Yes</v>
      </c>
      <c r="M176" t="str">
        <f t="shared" si="7"/>
        <v>no</v>
      </c>
      <c r="N176" t="str">
        <f t="shared" si="8"/>
        <v>No</v>
      </c>
      <c r="O176">
        <f>SUMIF('raw data'!B$2:B$501,B176,'raw data'!I$2:I$501)</f>
        <v>2244.3000000000002</v>
      </c>
      <c r="P176" t="str">
        <f>IF(OR(I176&lt;Visualization!$B$6,I176&gt;Visualization!$B$7),"Outlier","Normal")</f>
        <v>Outlier</v>
      </c>
    </row>
    <row r="177" spans="1:16" x14ac:dyDescent="0.35">
      <c r="A177" s="6" t="s">
        <v>184</v>
      </c>
      <c r="B177" s="15">
        <v>45209</v>
      </c>
      <c r="C177" s="6" t="s">
        <v>540</v>
      </c>
      <c r="D177" s="6" t="s">
        <v>612</v>
      </c>
      <c r="E177" s="6" t="s">
        <v>673</v>
      </c>
      <c r="F177" s="6">
        <v>4</v>
      </c>
      <c r="G177" s="6"/>
      <c r="H177" s="6">
        <v>10</v>
      </c>
      <c r="I177" s="6"/>
      <c r="J177" s="6" t="str">
        <f>IF(I177&gt;formulas!$B$5,"yes","no")</f>
        <v>no</v>
      </c>
      <c r="K177" s="6" t="str">
        <f t="shared" si="6"/>
        <v>yes</v>
      </c>
      <c r="L177" s="6" t="str">
        <f>IF(COUNTIF('raw data'!$B$2:$B$501,B177)&gt;1,"Yes","No")</f>
        <v>Yes</v>
      </c>
      <c r="M177" t="str">
        <f t="shared" si="7"/>
        <v>no</v>
      </c>
      <c r="N177" t="str">
        <f t="shared" si="8"/>
        <v>No</v>
      </c>
      <c r="O177">
        <f>SUMIF('raw data'!B$2:B$501,B177,'raw data'!I$2:I$501)</f>
        <v>799.2</v>
      </c>
      <c r="P177" t="str">
        <f>IF(OR(I177&lt;Visualization!$B$6,I177&gt;Visualization!$B$7),"Outlier","Normal")</f>
        <v>Normal</v>
      </c>
    </row>
    <row r="178" spans="1:16" x14ac:dyDescent="0.35">
      <c r="A178" s="6" t="s">
        <v>185</v>
      </c>
      <c r="B178" s="15">
        <v>45047</v>
      </c>
      <c r="C178" s="6" t="s">
        <v>526</v>
      </c>
      <c r="D178" s="6" t="s">
        <v>611</v>
      </c>
      <c r="E178" s="6" t="s">
        <v>656</v>
      </c>
      <c r="F178" s="6">
        <v>4</v>
      </c>
      <c r="G178" s="6"/>
      <c r="H178" s="6"/>
      <c r="I178" s="6"/>
      <c r="J178" s="6" t="str">
        <f>IF(I178&gt;formulas!$B$5,"yes","no")</f>
        <v>no</v>
      </c>
      <c r="K178" s="6" t="str">
        <f t="shared" si="6"/>
        <v>no</v>
      </c>
      <c r="L178" s="6" t="str">
        <f>IF(COUNTIF('raw data'!$B$2:$B$501,B178)&gt;1,"Yes","No")</f>
        <v>No</v>
      </c>
      <c r="M178" t="str">
        <f t="shared" si="7"/>
        <v>no</v>
      </c>
      <c r="N178" t="str">
        <f t="shared" si="8"/>
        <v>No</v>
      </c>
      <c r="O178">
        <f>SUMIF('raw data'!B$2:B$501,B178,'raw data'!I$2:I$501)</f>
        <v>0</v>
      </c>
      <c r="P178" t="str">
        <f>IF(OR(I178&lt;Visualization!$B$6,I178&gt;Visualization!$B$7),"Outlier","Normal")</f>
        <v>Normal</v>
      </c>
    </row>
    <row r="179" spans="1:16" x14ac:dyDescent="0.35">
      <c r="A179" s="6" t="s">
        <v>186</v>
      </c>
      <c r="B179" s="15">
        <v>45042</v>
      </c>
      <c r="C179" s="6" t="s">
        <v>583</v>
      </c>
      <c r="D179" s="6" t="s">
        <v>609</v>
      </c>
      <c r="E179" s="6" t="s">
        <v>675</v>
      </c>
      <c r="F179" s="6">
        <v>1</v>
      </c>
      <c r="G179" s="6">
        <v>499</v>
      </c>
      <c r="H179" s="6">
        <v>10</v>
      </c>
      <c r="I179" s="6">
        <v>449.1</v>
      </c>
      <c r="J179" s="6" t="str">
        <f>IF(I179&gt;formulas!$B$5,"yes","no")</f>
        <v>no</v>
      </c>
      <c r="K179" s="6" t="str">
        <f t="shared" si="6"/>
        <v>yes</v>
      </c>
      <c r="L179" s="6" t="str">
        <f>IF(COUNTIF('raw data'!$B$2:$B$501,B179)&gt;1,"Yes","No")</f>
        <v>Yes</v>
      </c>
      <c r="M179" t="str">
        <f t="shared" si="7"/>
        <v>no</v>
      </c>
      <c r="N179" t="str">
        <f t="shared" si="8"/>
        <v>No</v>
      </c>
      <c r="O179">
        <f>SUMIF('raw data'!B$2:B$501,B179,'raw data'!I$2:I$501)</f>
        <v>6224.5</v>
      </c>
      <c r="P179" t="str">
        <f>IF(OR(I179&lt;Visualization!$B$6,I179&gt;Visualization!$B$7),"Outlier","Normal")</f>
        <v>Outlier</v>
      </c>
    </row>
    <row r="180" spans="1:16" x14ac:dyDescent="0.35">
      <c r="A180" s="6" t="s">
        <v>187</v>
      </c>
      <c r="B180" s="15">
        <v>45159</v>
      </c>
      <c r="C180" s="6" t="s">
        <v>511</v>
      </c>
      <c r="D180" s="6" t="s">
        <v>610</v>
      </c>
      <c r="E180" s="6" t="s">
        <v>692</v>
      </c>
      <c r="F180" s="6">
        <v>2</v>
      </c>
      <c r="G180" s="6">
        <v>1499</v>
      </c>
      <c r="H180" s="6">
        <v>20</v>
      </c>
      <c r="I180" s="6">
        <v>2398.4</v>
      </c>
      <c r="J180" s="6" t="str">
        <f>IF(I180&gt;formulas!$B$5,"yes","no")</f>
        <v>yes</v>
      </c>
      <c r="K180" s="6" t="str">
        <f t="shared" si="6"/>
        <v>yes</v>
      </c>
      <c r="L180" s="6" t="str">
        <f>IF(COUNTIF('raw data'!$B$2:$B$501,B180)&gt;1,"Yes","No")</f>
        <v>Yes</v>
      </c>
      <c r="M180" t="str">
        <f t="shared" si="7"/>
        <v>yes</v>
      </c>
      <c r="N180" t="str">
        <f t="shared" si="8"/>
        <v>Yes</v>
      </c>
      <c r="O180">
        <f>SUMIF('raw data'!B$2:B$501,B180,'raw data'!I$2:I$501)</f>
        <v>3755.7</v>
      </c>
      <c r="P180" t="str">
        <f>IF(OR(I180&lt;Visualization!$B$6,I180&gt;Visualization!$B$7),"Outlier","Normal")</f>
        <v>Outlier</v>
      </c>
    </row>
    <row r="181" spans="1:16" x14ac:dyDescent="0.35">
      <c r="A181" s="6" t="s">
        <v>188</v>
      </c>
      <c r="B181" s="15">
        <v>45185</v>
      </c>
      <c r="C181" s="6" t="s">
        <v>583</v>
      </c>
      <c r="D181" s="6" t="s">
        <v>611</v>
      </c>
      <c r="E181" s="6" t="s">
        <v>651</v>
      </c>
      <c r="F181" s="6">
        <v>1</v>
      </c>
      <c r="G181" s="6"/>
      <c r="H181" s="6">
        <v>15</v>
      </c>
      <c r="I181" s="6"/>
      <c r="J181" s="6" t="str">
        <f>IF(I181&gt;formulas!$B$5,"yes","no")</f>
        <v>no</v>
      </c>
      <c r="K181" s="6" t="str">
        <f t="shared" si="6"/>
        <v>yes</v>
      </c>
      <c r="L181" s="6" t="str">
        <f>IF(COUNTIF('raw data'!$B$2:$B$501,B181)&gt;1,"Yes","No")</f>
        <v>Yes</v>
      </c>
      <c r="M181" t="str">
        <f t="shared" si="7"/>
        <v>no</v>
      </c>
      <c r="N181" t="str">
        <f t="shared" si="8"/>
        <v>No</v>
      </c>
      <c r="O181">
        <f>SUMIF('raw data'!B$2:B$501,B181,'raw data'!I$2:I$501)</f>
        <v>0</v>
      </c>
      <c r="P181" t="str">
        <f>IF(OR(I181&lt;Visualization!$B$6,I181&gt;Visualization!$B$7),"Outlier","Normal")</f>
        <v>Normal</v>
      </c>
    </row>
    <row r="182" spans="1:16" x14ac:dyDescent="0.35">
      <c r="A182" s="6" t="s">
        <v>189</v>
      </c>
      <c r="B182" s="15">
        <v>45285</v>
      </c>
      <c r="C182" s="6" t="s">
        <v>519</v>
      </c>
      <c r="D182" s="6" t="s">
        <v>612</v>
      </c>
      <c r="E182" s="6" t="s">
        <v>689</v>
      </c>
      <c r="F182" s="6">
        <v>1</v>
      </c>
      <c r="G182" s="6">
        <v>1499</v>
      </c>
      <c r="H182" s="6">
        <v>0</v>
      </c>
      <c r="I182" s="6">
        <v>1499</v>
      </c>
      <c r="J182" s="6" t="str">
        <f>IF(I182&gt;formulas!$B$5,"yes","no")</f>
        <v>yes</v>
      </c>
      <c r="K182" s="6" t="str">
        <f t="shared" si="6"/>
        <v>no</v>
      </c>
      <c r="L182" s="6" t="str">
        <f>IF(COUNTIF('raw data'!$B$2:$B$501,B182)&gt;1,"Yes","No")</f>
        <v>Yes</v>
      </c>
      <c r="M182" t="str">
        <f t="shared" si="7"/>
        <v>no</v>
      </c>
      <c r="N182" t="str">
        <f t="shared" si="8"/>
        <v>Yes</v>
      </c>
      <c r="O182">
        <f>SUMIF('raw data'!B$2:B$501,B182,'raw data'!I$2:I$501)</f>
        <v>1668.15</v>
      </c>
      <c r="P182" t="str">
        <f>IF(OR(I182&lt;Visualization!$B$6,I182&gt;Visualization!$B$7),"Outlier","Normal")</f>
        <v>Outlier</v>
      </c>
    </row>
    <row r="183" spans="1:16" x14ac:dyDescent="0.35">
      <c r="A183" s="6" t="s">
        <v>190</v>
      </c>
      <c r="B183" s="15">
        <v>45124</v>
      </c>
      <c r="C183" s="6" t="s">
        <v>596</v>
      </c>
      <c r="D183" s="6" t="s">
        <v>609</v>
      </c>
      <c r="E183" s="6" t="s">
        <v>695</v>
      </c>
      <c r="F183" s="6">
        <v>4</v>
      </c>
      <c r="G183" s="6">
        <v>1499</v>
      </c>
      <c r="H183" s="6">
        <v>20</v>
      </c>
      <c r="I183" s="6">
        <v>4796.8</v>
      </c>
      <c r="J183" s="6" t="str">
        <f>IF(I183&gt;formulas!$B$5,"yes","no")</f>
        <v>yes</v>
      </c>
      <c r="K183" s="6" t="str">
        <f t="shared" si="6"/>
        <v>yes</v>
      </c>
      <c r="L183" s="6" t="str">
        <f>IF(COUNTIF('raw data'!$B$2:$B$501,B183)&gt;1,"Yes","No")</f>
        <v>Yes</v>
      </c>
      <c r="M183" t="str">
        <f t="shared" si="7"/>
        <v>yes</v>
      </c>
      <c r="N183" t="str">
        <f t="shared" si="8"/>
        <v>Yes</v>
      </c>
      <c r="O183">
        <f>SUMIF('raw data'!B$2:B$501,B183,'raw data'!I$2:I$501)</f>
        <v>9215.9500000000007</v>
      </c>
      <c r="P183" t="str">
        <f>IF(OR(I183&lt;Visualization!$B$6,I183&gt;Visualization!$B$7),"Outlier","Normal")</f>
        <v>Outlier</v>
      </c>
    </row>
    <row r="184" spans="1:16" x14ac:dyDescent="0.35">
      <c r="A184" s="6" t="s">
        <v>191</v>
      </c>
      <c r="B184" s="15">
        <v>45063</v>
      </c>
      <c r="C184" s="6" t="s">
        <v>544</v>
      </c>
      <c r="D184" s="6" t="s">
        <v>612</v>
      </c>
      <c r="E184" s="6" t="s">
        <v>651</v>
      </c>
      <c r="F184" s="6">
        <v>2</v>
      </c>
      <c r="G184" s="6">
        <v>499</v>
      </c>
      <c r="H184" s="6">
        <v>20</v>
      </c>
      <c r="I184" s="6">
        <v>798.40000000000009</v>
      </c>
      <c r="J184" s="6" t="str">
        <f>IF(I184&gt;formulas!$B$5,"yes","no")</f>
        <v>no</v>
      </c>
      <c r="K184" s="6" t="str">
        <f t="shared" si="6"/>
        <v>yes</v>
      </c>
      <c r="L184" s="6" t="str">
        <f>IF(COUNTIF('raw data'!$B$2:$B$501,B184)&gt;1,"Yes","No")</f>
        <v>No</v>
      </c>
      <c r="M184" t="str">
        <f t="shared" si="7"/>
        <v>yes</v>
      </c>
      <c r="N184" t="str">
        <f t="shared" si="8"/>
        <v>No</v>
      </c>
      <c r="O184">
        <f>SUMIF('raw data'!B$2:B$501,B184,'raw data'!I$2:I$501)</f>
        <v>798.40000000000009</v>
      </c>
      <c r="P184" t="str">
        <f>IF(OR(I184&lt;Visualization!$B$6,I184&gt;Visualization!$B$7),"Outlier","Normal")</f>
        <v>Outlier</v>
      </c>
    </row>
    <row r="185" spans="1:16" x14ac:dyDescent="0.35">
      <c r="A185" s="6" t="s">
        <v>192</v>
      </c>
      <c r="B185" s="15">
        <v>45244</v>
      </c>
      <c r="C185" s="6" t="s">
        <v>597</v>
      </c>
      <c r="D185" s="6" t="s">
        <v>612</v>
      </c>
      <c r="E185" s="6" t="s">
        <v>685</v>
      </c>
      <c r="F185" s="6">
        <v>2</v>
      </c>
      <c r="G185" s="6">
        <v>499</v>
      </c>
      <c r="H185" s="6"/>
      <c r="I185" s="6">
        <v>998</v>
      </c>
      <c r="J185" s="6" t="str">
        <f>IF(I185&gt;formulas!$B$5,"yes","no")</f>
        <v>no</v>
      </c>
      <c r="K185" s="6" t="str">
        <f t="shared" si="6"/>
        <v>no</v>
      </c>
      <c r="L185" s="6" t="str">
        <f>IF(COUNTIF('raw data'!$B$2:$B$501,B185)&gt;1,"Yes","No")</f>
        <v>Yes</v>
      </c>
      <c r="M185" t="str">
        <f t="shared" si="7"/>
        <v>no</v>
      </c>
      <c r="N185" t="str">
        <f t="shared" si="8"/>
        <v>No</v>
      </c>
      <c r="O185">
        <f>SUMIF('raw data'!B$2:B$501,B185,'raw data'!I$2:I$501)</f>
        <v>2894.2</v>
      </c>
      <c r="P185" t="str">
        <f>IF(OR(I185&lt;Visualization!$B$6,I185&gt;Visualization!$B$7),"Outlier","Normal")</f>
        <v>Outlier</v>
      </c>
    </row>
    <row r="186" spans="1:16" x14ac:dyDescent="0.35">
      <c r="A186" s="6" t="s">
        <v>193</v>
      </c>
      <c r="B186" s="15">
        <v>45091</v>
      </c>
      <c r="C186" s="6" t="s">
        <v>572</v>
      </c>
      <c r="D186" s="6" t="s">
        <v>609</v>
      </c>
      <c r="E186" s="6" t="s">
        <v>696</v>
      </c>
      <c r="F186" s="6">
        <v>1</v>
      </c>
      <c r="G186" s="6">
        <v>499</v>
      </c>
      <c r="H186" s="6">
        <v>0</v>
      </c>
      <c r="I186" s="6">
        <v>499</v>
      </c>
      <c r="J186" s="6" t="str">
        <f>IF(I186&gt;formulas!$B$5,"yes","no")</f>
        <v>no</v>
      </c>
      <c r="K186" s="6" t="str">
        <f t="shared" si="6"/>
        <v>no</v>
      </c>
      <c r="L186" s="6" t="str">
        <f>IF(COUNTIF('raw data'!$B$2:$B$501,B186)&gt;1,"Yes","No")</f>
        <v>No</v>
      </c>
      <c r="M186" t="str">
        <f t="shared" si="7"/>
        <v>no</v>
      </c>
      <c r="N186" t="str">
        <f t="shared" si="8"/>
        <v>No</v>
      </c>
      <c r="O186">
        <f>SUMIF('raw data'!B$2:B$501,B186,'raw data'!I$2:I$501)</f>
        <v>499</v>
      </c>
      <c r="P186" t="str">
        <f>IF(OR(I186&lt;Visualization!$B$6,I186&gt;Visualization!$B$7),"Outlier","Normal")</f>
        <v>Outlier</v>
      </c>
    </row>
    <row r="187" spans="1:16" x14ac:dyDescent="0.35">
      <c r="A187" s="6" t="s">
        <v>194</v>
      </c>
      <c r="B187" s="15">
        <v>45151</v>
      </c>
      <c r="C187" s="6" t="s">
        <v>541</v>
      </c>
      <c r="D187" s="6" t="s">
        <v>612</v>
      </c>
      <c r="E187" s="6" t="s">
        <v>695</v>
      </c>
      <c r="F187" s="6">
        <v>2</v>
      </c>
      <c r="G187" s="6"/>
      <c r="H187" s="6"/>
      <c r="I187" s="6"/>
      <c r="J187" s="6" t="str">
        <f>IF(I187&gt;formulas!$B$5,"yes","no")</f>
        <v>no</v>
      </c>
      <c r="K187" s="6" t="str">
        <f t="shared" si="6"/>
        <v>no</v>
      </c>
      <c r="L187" s="6" t="str">
        <f>IF(COUNTIF('raw data'!$B$2:$B$501,B187)&gt;1,"Yes","No")</f>
        <v>Yes</v>
      </c>
      <c r="M187" t="str">
        <f t="shared" si="7"/>
        <v>no</v>
      </c>
      <c r="N187" t="str">
        <f t="shared" si="8"/>
        <v>No</v>
      </c>
      <c r="O187">
        <f>SUMIF('raw data'!B$2:B$501,B187,'raw data'!I$2:I$501)</f>
        <v>2244.3000000000002</v>
      </c>
      <c r="P187" t="str">
        <f>IF(OR(I187&lt;Visualization!$B$6,I187&gt;Visualization!$B$7),"Outlier","Normal")</f>
        <v>Normal</v>
      </c>
    </row>
    <row r="188" spans="1:16" x14ac:dyDescent="0.35">
      <c r="A188" s="6" t="s">
        <v>195</v>
      </c>
      <c r="B188" s="15">
        <v>45233</v>
      </c>
      <c r="C188" s="6" t="s">
        <v>542</v>
      </c>
      <c r="D188" s="6" t="s">
        <v>609</v>
      </c>
      <c r="E188" s="6" t="s">
        <v>638</v>
      </c>
      <c r="F188" s="6">
        <v>1</v>
      </c>
      <c r="G188" s="6">
        <v>1999</v>
      </c>
      <c r="H188" s="6">
        <v>0</v>
      </c>
      <c r="I188" s="6">
        <v>1999</v>
      </c>
      <c r="J188" s="6" t="str">
        <f>IF(I188&gt;formulas!$B$5,"yes","no")</f>
        <v>yes</v>
      </c>
      <c r="K188" s="6" t="str">
        <f t="shared" si="6"/>
        <v>no</v>
      </c>
      <c r="L188" s="6" t="str">
        <f>IF(COUNTIF('raw data'!$B$2:$B$501,B188)&gt;1,"Yes","No")</f>
        <v>Yes</v>
      </c>
      <c r="M188" t="str">
        <f t="shared" si="7"/>
        <v>no</v>
      </c>
      <c r="N188" t="str">
        <f t="shared" si="8"/>
        <v>Yes</v>
      </c>
      <c r="O188">
        <f>SUMIF('raw data'!B$2:B$501,B188,'raw data'!I$2:I$501)</f>
        <v>2997</v>
      </c>
      <c r="P188" t="str">
        <f>IF(OR(I188&lt;Visualization!$B$6,I188&gt;Visualization!$B$7),"Outlier","Normal")</f>
        <v>Outlier</v>
      </c>
    </row>
    <row r="189" spans="1:16" x14ac:dyDescent="0.35">
      <c r="A189" s="6" t="s">
        <v>196</v>
      </c>
      <c r="B189" s="15">
        <v>45160</v>
      </c>
      <c r="C189" s="6" t="s">
        <v>548</v>
      </c>
      <c r="D189" s="6" t="s">
        <v>611</v>
      </c>
      <c r="E189" s="6" t="s">
        <v>650</v>
      </c>
      <c r="F189" s="6">
        <v>1</v>
      </c>
      <c r="G189" s="6">
        <v>499</v>
      </c>
      <c r="H189" s="6"/>
      <c r="I189" s="6">
        <v>499</v>
      </c>
      <c r="J189" s="6" t="str">
        <f>IF(I189&gt;formulas!$B$5,"yes","no")</f>
        <v>no</v>
      </c>
      <c r="K189" s="6" t="str">
        <f t="shared" si="6"/>
        <v>no</v>
      </c>
      <c r="L189" s="6" t="str">
        <f>IF(COUNTIF('raw data'!$B$2:$B$501,B189)&gt;1,"Yes","No")</f>
        <v>No</v>
      </c>
      <c r="M189" t="str">
        <f t="shared" si="7"/>
        <v>no</v>
      </c>
      <c r="N189" t="str">
        <f t="shared" si="8"/>
        <v>No</v>
      </c>
      <c r="O189">
        <f>SUMIF('raw data'!B$2:B$501,B189,'raw data'!I$2:I$501)</f>
        <v>499</v>
      </c>
      <c r="P189" t="str">
        <f>IF(OR(I189&lt;Visualization!$B$6,I189&gt;Visualization!$B$7),"Outlier","Normal")</f>
        <v>Outlier</v>
      </c>
    </row>
    <row r="190" spans="1:16" x14ac:dyDescent="0.35">
      <c r="A190" s="6" t="s">
        <v>197</v>
      </c>
      <c r="B190" s="15">
        <v>45098</v>
      </c>
      <c r="C190" s="6" t="s">
        <v>560</v>
      </c>
      <c r="D190" s="6" t="s">
        <v>609</v>
      </c>
      <c r="E190" s="6" t="s">
        <v>649</v>
      </c>
      <c r="F190" s="6">
        <v>3</v>
      </c>
      <c r="G190" s="6"/>
      <c r="H190" s="6">
        <v>10</v>
      </c>
      <c r="I190" s="6"/>
      <c r="J190" s="6" t="str">
        <f>IF(I190&gt;formulas!$B$5,"yes","no")</f>
        <v>no</v>
      </c>
      <c r="K190" s="6" t="str">
        <f t="shared" si="6"/>
        <v>yes</v>
      </c>
      <c r="L190" s="6" t="str">
        <f>IF(COUNTIF('raw data'!$B$2:$B$501,B190)&gt;1,"Yes","No")</f>
        <v>Yes</v>
      </c>
      <c r="M190" t="str">
        <f t="shared" si="7"/>
        <v>no</v>
      </c>
      <c r="N190" t="str">
        <f t="shared" si="8"/>
        <v>No</v>
      </c>
      <c r="O190">
        <f>SUMIF('raw data'!B$2:B$501,B190,'raw data'!I$2:I$501)</f>
        <v>2452.1999999999998</v>
      </c>
      <c r="P190" t="str">
        <f>IF(OR(I190&lt;Visualization!$B$6,I190&gt;Visualization!$B$7),"Outlier","Normal")</f>
        <v>Normal</v>
      </c>
    </row>
    <row r="191" spans="1:16" x14ac:dyDescent="0.35">
      <c r="A191" s="6" t="s">
        <v>198</v>
      </c>
      <c r="B191" s="15">
        <v>45078</v>
      </c>
      <c r="C191" s="6" t="s">
        <v>588</v>
      </c>
      <c r="D191" s="6" t="s">
        <v>609</v>
      </c>
      <c r="E191" s="6" t="s">
        <v>657</v>
      </c>
      <c r="F191" s="6">
        <v>1</v>
      </c>
      <c r="G191" s="6">
        <v>499</v>
      </c>
      <c r="H191" s="6">
        <v>15</v>
      </c>
      <c r="I191" s="6">
        <v>424.15</v>
      </c>
      <c r="J191" s="6" t="str">
        <f>IF(I191&gt;formulas!$B$5,"yes","no")</f>
        <v>no</v>
      </c>
      <c r="K191" s="6" t="str">
        <f t="shared" si="6"/>
        <v>yes</v>
      </c>
      <c r="L191" s="6" t="str">
        <f>IF(COUNTIF('raw data'!$B$2:$B$501,B191)&gt;1,"Yes","No")</f>
        <v>Yes</v>
      </c>
      <c r="M191" t="str">
        <f t="shared" si="7"/>
        <v>no</v>
      </c>
      <c r="N191" t="str">
        <f t="shared" si="8"/>
        <v>No</v>
      </c>
      <c r="O191">
        <f>SUMIF('raw data'!B$2:B$501,B191,'raw data'!I$2:I$501)</f>
        <v>5519.05</v>
      </c>
      <c r="P191" t="str">
        <f>IF(OR(I191&lt;Visualization!$B$6,I191&gt;Visualization!$B$7),"Outlier","Normal")</f>
        <v>Outlier</v>
      </c>
    </row>
    <row r="192" spans="1:16" x14ac:dyDescent="0.35">
      <c r="A192" s="6" t="s">
        <v>199</v>
      </c>
      <c r="B192" s="15">
        <v>45241</v>
      </c>
      <c r="C192" s="6" t="s">
        <v>574</v>
      </c>
      <c r="D192" s="6" t="s">
        <v>610</v>
      </c>
      <c r="E192" s="6" t="s">
        <v>692</v>
      </c>
      <c r="F192" s="6">
        <v>3</v>
      </c>
      <c r="G192" s="6">
        <v>999</v>
      </c>
      <c r="H192" s="6">
        <v>15</v>
      </c>
      <c r="I192" s="6">
        <v>2547.4499999999998</v>
      </c>
      <c r="J192" s="6" t="str">
        <f>IF(I192&gt;formulas!$B$5,"yes","no")</f>
        <v>yes</v>
      </c>
      <c r="K192" s="6" t="str">
        <f t="shared" si="6"/>
        <v>yes</v>
      </c>
      <c r="L192" s="6" t="str">
        <f>IF(COUNTIF('raw data'!$B$2:$B$501,B192)&gt;1,"Yes","No")</f>
        <v>No</v>
      </c>
      <c r="M192" t="str">
        <f t="shared" si="7"/>
        <v>no</v>
      </c>
      <c r="N192" t="str">
        <f t="shared" si="8"/>
        <v>No</v>
      </c>
      <c r="O192">
        <f>SUMIF('raw data'!B$2:B$501,B192,'raw data'!I$2:I$501)</f>
        <v>2547.4499999999998</v>
      </c>
      <c r="P192" t="str">
        <f>IF(OR(I192&lt;Visualization!$B$6,I192&gt;Visualization!$B$7),"Outlier","Normal")</f>
        <v>Outlier</v>
      </c>
    </row>
    <row r="193" spans="1:16" x14ac:dyDescent="0.35">
      <c r="A193" s="6" t="s">
        <v>200</v>
      </c>
      <c r="B193" s="15">
        <v>45086</v>
      </c>
      <c r="C193" s="6" t="s">
        <v>579</v>
      </c>
      <c r="D193" s="6" t="s">
        <v>609</v>
      </c>
      <c r="E193" s="6" t="s">
        <v>643</v>
      </c>
      <c r="F193" s="6">
        <v>1</v>
      </c>
      <c r="G193" s="6">
        <v>1499</v>
      </c>
      <c r="H193" s="6">
        <v>0</v>
      </c>
      <c r="I193" s="6">
        <v>1499</v>
      </c>
      <c r="J193" s="6" t="str">
        <f>IF(I193&gt;formulas!$B$5,"yes","no")</f>
        <v>yes</v>
      </c>
      <c r="K193" s="6" t="str">
        <f t="shared" si="6"/>
        <v>no</v>
      </c>
      <c r="L193" s="6" t="str">
        <f>IF(COUNTIF('raw data'!$B$2:$B$501,B193)&gt;1,"Yes","No")</f>
        <v>Yes</v>
      </c>
      <c r="M193" t="str">
        <f t="shared" si="7"/>
        <v>no</v>
      </c>
      <c r="N193" t="str">
        <f t="shared" si="8"/>
        <v>Yes</v>
      </c>
      <c r="O193">
        <f>SUMIF('raw data'!B$2:B$501,B193,'raw data'!I$2:I$501)</f>
        <v>2919.25</v>
      </c>
      <c r="P193" t="str">
        <f>IF(OR(I193&lt;Visualization!$B$6,I193&gt;Visualization!$B$7),"Outlier","Normal")</f>
        <v>Outlier</v>
      </c>
    </row>
    <row r="194" spans="1:16" x14ac:dyDescent="0.35">
      <c r="A194" s="6" t="s">
        <v>201</v>
      </c>
      <c r="B194" s="15">
        <v>45022</v>
      </c>
      <c r="C194" s="6" t="s">
        <v>596</v>
      </c>
      <c r="D194" s="6" t="s">
        <v>609</v>
      </c>
      <c r="E194" s="6" t="s">
        <v>660</v>
      </c>
      <c r="F194" s="6">
        <v>1</v>
      </c>
      <c r="G194" s="6">
        <v>499</v>
      </c>
      <c r="H194" s="6">
        <v>5</v>
      </c>
      <c r="I194" s="6">
        <v>474.05</v>
      </c>
      <c r="J194" s="6" t="str">
        <f>IF(I194&gt;formulas!$B$5,"yes","no")</f>
        <v>no</v>
      </c>
      <c r="K194" s="6" t="str">
        <f t="shared" si="6"/>
        <v>yes</v>
      </c>
      <c r="L194" s="6" t="str">
        <f>IF(COUNTIF('raw data'!$B$2:$B$501,B194)&gt;1,"Yes","No")</f>
        <v>Yes</v>
      </c>
      <c r="M194" t="str">
        <f t="shared" si="7"/>
        <v>no</v>
      </c>
      <c r="N194" t="str">
        <f t="shared" si="8"/>
        <v>No</v>
      </c>
      <c r="O194">
        <f>SUMIF('raw data'!B$2:B$501,B194,'raw data'!I$2:I$501)</f>
        <v>7568.65</v>
      </c>
      <c r="P194" t="str">
        <f>IF(OR(I194&lt;Visualization!$B$6,I194&gt;Visualization!$B$7),"Outlier","Normal")</f>
        <v>Outlier</v>
      </c>
    </row>
    <row r="195" spans="1:16" x14ac:dyDescent="0.35">
      <c r="A195" s="6" t="s">
        <v>202</v>
      </c>
      <c r="B195" s="15">
        <v>45159</v>
      </c>
      <c r="C195" s="6" t="s">
        <v>549</v>
      </c>
      <c r="D195" s="6" t="s">
        <v>611</v>
      </c>
      <c r="E195" s="6" t="s">
        <v>661</v>
      </c>
      <c r="F195" s="6">
        <v>1</v>
      </c>
      <c r="G195" s="6">
        <v>199</v>
      </c>
      <c r="H195" s="6">
        <v>20</v>
      </c>
      <c r="I195" s="6">
        <v>159.19999999999999</v>
      </c>
      <c r="J195" s="6" t="str">
        <f>IF(I195&gt;formulas!$B$5,"yes","no")</f>
        <v>no</v>
      </c>
      <c r="K195" s="6" t="str">
        <f t="shared" ref="K195:K258" si="9">IF(H195&gt;0,"yes","no")</f>
        <v>yes</v>
      </c>
      <c r="L195" s="6" t="str">
        <f>IF(COUNTIF('raw data'!$B$2:$B$501,B195)&gt;1,"Yes","No")</f>
        <v>Yes</v>
      </c>
      <c r="M195" t="str">
        <f t="shared" ref="M195:M258" si="10">IF(H195&gt;15,"yes","no")</f>
        <v>yes</v>
      </c>
      <c r="N195" t="str">
        <f t="shared" ref="N195:N258" si="11">IF(AND(L195="Yes", J195="yes" ),"Yes","No")</f>
        <v>No</v>
      </c>
      <c r="O195">
        <f>SUMIF('raw data'!B$2:B$501,B195,'raw data'!I$2:I$501)</f>
        <v>3755.7</v>
      </c>
      <c r="P195" t="str">
        <f>IF(OR(I195&lt;Visualization!$B$6,I195&gt;Visualization!$B$7),"Outlier","Normal")</f>
        <v>Outlier</v>
      </c>
    </row>
    <row r="196" spans="1:16" x14ac:dyDescent="0.35">
      <c r="A196" s="6" t="s">
        <v>203</v>
      </c>
      <c r="B196" s="15">
        <v>45106</v>
      </c>
      <c r="C196" s="6" t="s">
        <v>577</v>
      </c>
      <c r="D196" s="6" t="s">
        <v>610</v>
      </c>
      <c r="E196" s="6" t="s">
        <v>697</v>
      </c>
      <c r="F196" s="6">
        <v>3</v>
      </c>
      <c r="G196" s="6">
        <v>1499</v>
      </c>
      <c r="H196" s="6">
        <v>20</v>
      </c>
      <c r="I196" s="6">
        <v>3597.6</v>
      </c>
      <c r="J196" s="6" t="str">
        <f>IF(I196&gt;formulas!$B$5,"yes","no")</f>
        <v>yes</v>
      </c>
      <c r="K196" s="6" t="str">
        <f t="shared" si="9"/>
        <v>yes</v>
      </c>
      <c r="L196" s="6" t="str">
        <f>IF(COUNTIF('raw data'!$B$2:$B$501,B196)&gt;1,"Yes","No")</f>
        <v>Yes</v>
      </c>
      <c r="M196" t="str">
        <f t="shared" si="10"/>
        <v>yes</v>
      </c>
      <c r="N196" t="str">
        <f t="shared" si="11"/>
        <v>Yes</v>
      </c>
      <c r="O196">
        <f>SUMIF('raw data'!B$2:B$501,B196,'raw data'!I$2:I$501)</f>
        <v>6469.25</v>
      </c>
      <c r="P196" t="str">
        <f>IF(OR(I196&lt;Visualization!$B$6,I196&gt;Visualization!$B$7),"Outlier","Normal")</f>
        <v>Outlier</v>
      </c>
    </row>
    <row r="197" spans="1:16" x14ac:dyDescent="0.35">
      <c r="A197" s="6" t="s">
        <v>204</v>
      </c>
      <c r="B197" s="15">
        <v>45039</v>
      </c>
      <c r="C197" s="6" t="s">
        <v>598</v>
      </c>
      <c r="D197" s="6" t="s">
        <v>613</v>
      </c>
      <c r="E197" s="6" t="s">
        <v>647</v>
      </c>
      <c r="F197" s="6">
        <v>3</v>
      </c>
      <c r="G197" s="6">
        <v>1499</v>
      </c>
      <c r="H197" s="6">
        <v>0</v>
      </c>
      <c r="I197" s="6">
        <v>4497</v>
      </c>
      <c r="J197" s="6" t="str">
        <f>IF(I197&gt;formulas!$B$5,"yes","no")</f>
        <v>yes</v>
      </c>
      <c r="K197" s="6" t="str">
        <f t="shared" si="9"/>
        <v>no</v>
      </c>
      <c r="L197" s="6" t="str">
        <f>IF(COUNTIF('raw data'!$B$2:$B$501,B197)&gt;1,"Yes","No")</f>
        <v>Yes</v>
      </c>
      <c r="M197" t="str">
        <f t="shared" si="10"/>
        <v>no</v>
      </c>
      <c r="N197" t="str">
        <f t="shared" si="11"/>
        <v>Yes</v>
      </c>
      <c r="O197">
        <f>SUMIF('raw data'!B$2:B$501,B197,'raw data'!I$2:I$501)</f>
        <v>8387</v>
      </c>
      <c r="P197" t="str">
        <f>IF(OR(I197&lt;Visualization!$B$6,I197&gt;Visualization!$B$7),"Outlier","Normal")</f>
        <v>Outlier</v>
      </c>
    </row>
    <row r="198" spans="1:16" x14ac:dyDescent="0.35">
      <c r="A198" s="6" t="s">
        <v>205</v>
      </c>
      <c r="B198" s="15">
        <v>45244</v>
      </c>
      <c r="C198" s="6" t="s">
        <v>586</v>
      </c>
      <c r="D198" s="6" t="s">
        <v>611</v>
      </c>
      <c r="E198" s="6" t="s">
        <v>630</v>
      </c>
      <c r="F198" s="6">
        <v>2</v>
      </c>
      <c r="G198" s="6">
        <v>499</v>
      </c>
      <c r="H198" s="6"/>
      <c r="I198" s="6">
        <v>998</v>
      </c>
      <c r="J198" s="6" t="str">
        <f>IF(I198&gt;formulas!$B$5,"yes","no")</f>
        <v>no</v>
      </c>
      <c r="K198" s="6" t="str">
        <f t="shared" si="9"/>
        <v>no</v>
      </c>
      <c r="L198" s="6" t="str">
        <f>IF(COUNTIF('raw data'!$B$2:$B$501,B198)&gt;1,"Yes","No")</f>
        <v>Yes</v>
      </c>
      <c r="M198" t="str">
        <f t="shared" si="10"/>
        <v>no</v>
      </c>
      <c r="N198" t="str">
        <f t="shared" si="11"/>
        <v>No</v>
      </c>
      <c r="O198">
        <f>SUMIF('raw data'!B$2:B$501,B198,'raw data'!I$2:I$501)</f>
        <v>2894.2</v>
      </c>
      <c r="P198" t="str">
        <f>IF(OR(I198&lt;Visualization!$B$6,I198&gt;Visualization!$B$7),"Outlier","Normal")</f>
        <v>Outlier</v>
      </c>
    </row>
    <row r="199" spans="1:16" x14ac:dyDescent="0.35">
      <c r="A199" s="6" t="s">
        <v>206</v>
      </c>
      <c r="B199" s="15">
        <v>44978</v>
      </c>
      <c r="C199" s="6" t="s">
        <v>590</v>
      </c>
      <c r="D199" s="6" t="s">
        <v>611</v>
      </c>
      <c r="E199" s="6" t="s">
        <v>661</v>
      </c>
      <c r="F199" s="6">
        <v>2</v>
      </c>
      <c r="G199" s="6">
        <v>1999</v>
      </c>
      <c r="H199" s="6">
        <v>5</v>
      </c>
      <c r="I199" s="6">
        <v>3798.1</v>
      </c>
      <c r="J199" s="6" t="str">
        <f>IF(I199&gt;formulas!$B$5,"yes","no")</f>
        <v>yes</v>
      </c>
      <c r="K199" s="6" t="str">
        <f t="shared" si="9"/>
        <v>yes</v>
      </c>
      <c r="L199" s="6" t="str">
        <f>IF(COUNTIF('raw data'!$B$2:$B$501,B199)&gt;1,"Yes","No")</f>
        <v>Yes</v>
      </c>
      <c r="M199" t="str">
        <f t="shared" si="10"/>
        <v>no</v>
      </c>
      <c r="N199" t="str">
        <f t="shared" si="11"/>
        <v>Yes</v>
      </c>
      <c r="O199">
        <f>SUMIF('raw data'!B$2:B$501,B199,'raw data'!I$2:I$501)</f>
        <v>3798.1</v>
      </c>
      <c r="P199" t="str">
        <f>IF(OR(I199&lt;Visualization!$B$6,I199&gt;Visualization!$B$7),"Outlier","Normal")</f>
        <v>Outlier</v>
      </c>
    </row>
    <row r="200" spans="1:16" x14ac:dyDescent="0.35">
      <c r="A200" s="6" t="s">
        <v>207</v>
      </c>
      <c r="B200" s="15">
        <v>45194</v>
      </c>
      <c r="C200" s="6" t="s">
        <v>587</v>
      </c>
      <c r="D200" s="6" t="s">
        <v>613</v>
      </c>
      <c r="E200" s="6" t="s">
        <v>682</v>
      </c>
      <c r="F200" s="6">
        <v>3</v>
      </c>
      <c r="G200" s="6">
        <v>299</v>
      </c>
      <c r="H200" s="6">
        <v>10</v>
      </c>
      <c r="I200" s="6">
        <v>807.30000000000007</v>
      </c>
      <c r="J200" s="6" t="str">
        <f>IF(I200&gt;formulas!$B$5,"yes","no")</f>
        <v>no</v>
      </c>
      <c r="K200" s="6" t="str">
        <f t="shared" si="9"/>
        <v>yes</v>
      </c>
      <c r="L200" s="6" t="str">
        <f>IF(COUNTIF('raw data'!$B$2:$B$501,B200)&gt;1,"Yes","No")</f>
        <v>Yes</v>
      </c>
      <c r="M200" t="str">
        <f t="shared" si="10"/>
        <v>no</v>
      </c>
      <c r="N200" t="str">
        <f t="shared" si="11"/>
        <v>No</v>
      </c>
      <c r="O200">
        <f>SUMIF('raw data'!B$2:B$501,B200,'raw data'!I$2:I$501)</f>
        <v>1206.5</v>
      </c>
      <c r="P200" t="str">
        <f>IF(OR(I200&lt;Visualization!$B$6,I200&gt;Visualization!$B$7),"Outlier","Normal")</f>
        <v>Outlier</v>
      </c>
    </row>
    <row r="201" spans="1:16" x14ac:dyDescent="0.35">
      <c r="A201" s="6" t="s">
        <v>208</v>
      </c>
      <c r="B201" s="15">
        <v>45221</v>
      </c>
      <c r="C201" s="6" t="s">
        <v>591</v>
      </c>
      <c r="D201" s="6" t="s">
        <v>609</v>
      </c>
      <c r="E201" s="6" t="s">
        <v>660</v>
      </c>
      <c r="F201" s="6">
        <v>0</v>
      </c>
      <c r="G201" s="6">
        <v>1999</v>
      </c>
      <c r="H201" s="6"/>
      <c r="I201" s="6">
        <v>0</v>
      </c>
      <c r="J201" s="6" t="str">
        <f>IF(I201&gt;formulas!$B$5,"yes","no")</f>
        <v>no</v>
      </c>
      <c r="K201" s="6" t="str">
        <f t="shared" si="9"/>
        <v>no</v>
      </c>
      <c r="L201" s="6" t="str">
        <f>IF(COUNTIF('raw data'!$B$2:$B$501,B201)&gt;1,"Yes","No")</f>
        <v>No</v>
      </c>
      <c r="M201" t="str">
        <f t="shared" si="10"/>
        <v>no</v>
      </c>
      <c r="N201" t="str">
        <f t="shared" si="11"/>
        <v>No</v>
      </c>
      <c r="O201">
        <f>SUMIF('raw data'!B$2:B$501,B201,'raw data'!I$2:I$501)</f>
        <v>0</v>
      </c>
      <c r="P201" t="str">
        <f>IF(OR(I201&lt;Visualization!$B$6,I201&gt;Visualization!$B$7),"Outlier","Normal")</f>
        <v>Normal</v>
      </c>
    </row>
    <row r="202" spans="1:16" x14ac:dyDescent="0.35">
      <c r="A202" s="6" t="s">
        <v>209</v>
      </c>
      <c r="B202" s="15">
        <v>45039</v>
      </c>
      <c r="C202" s="6" t="s">
        <v>569</v>
      </c>
      <c r="D202" s="6" t="s">
        <v>612</v>
      </c>
      <c r="E202" s="6" t="s">
        <v>624</v>
      </c>
      <c r="F202" s="6">
        <v>2</v>
      </c>
      <c r="G202" s="6">
        <v>499</v>
      </c>
      <c r="H202" s="6"/>
      <c r="I202" s="6">
        <v>998</v>
      </c>
      <c r="J202" s="6" t="str">
        <f>IF(I202&gt;formulas!$B$5,"yes","no")</f>
        <v>no</v>
      </c>
      <c r="K202" s="6" t="str">
        <f t="shared" si="9"/>
        <v>no</v>
      </c>
      <c r="L202" s="6" t="str">
        <f>IF(COUNTIF('raw data'!$B$2:$B$501,B202)&gt;1,"Yes","No")</f>
        <v>Yes</v>
      </c>
      <c r="M202" t="str">
        <f t="shared" si="10"/>
        <v>no</v>
      </c>
      <c r="N202" t="str">
        <f t="shared" si="11"/>
        <v>No</v>
      </c>
      <c r="O202">
        <f>SUMIF('raw data'!B$2:B$501,B202,'raw data'!I$2:I$501)</f>
        <v>8387</v>
      </c>
      <c r="P202" t="str">
        <f>IF(OR(I202&lt;Visualization!$B$6,I202&gt;Visualization!$B$7),"Outlier","Normal")</f>
        <v>Outlier</v>
      </c>
    </row>
    <row r="203" spans="1:16" x14ac:dyDescent="0.35">
      <c r="A203" s="6" t="s">
        <v>210</v>
      </c>
      <c r="B203" s="15">
        <v>45027</v>
      </c>
      <c r="C203" s="6" t="s">
        <v>531</v>
      </c>
      <c r="D203" s="6" t="s">
        <v>610</v>
      </c>
      <c r="E203" s="6" t="s">
        <v>676</v>
      </c>
      <c r="F203" s="6">
        <v>4</v>
      </c>
      <c r="G203" s="6">
        <v>1499</v>
      </c>
      <c r="H203" s="6">
        <v>0</v>
      </c>
      <c r="I203" s="6">
        <v>5996</v>
      </c>
      <c r="J203" s="6" t="str">
        <f>IF(I203&gt;formulas!$B$5,"yes","no")</f>
        <v>yes</v>
      </c>
      <c r="K203" s="6" t="str">
        <f t="shared" si="9"/>
        <v>no</v>
      </c>
      <c r="L203" s="6" t="str">
        <f>IF(COUNTIF('raw data'!$B$2:$B$501,B203)&gt;1,"Yes","No")</f>
        <v>Yes</v>
      </c>
      <c r="M203" t="str">
        <f t="shared" si="10"/>
        <v>no</v>
      </c>
      <c r="N203" t="str">
        <f t="shared" si="11"/>
        <v>Yes</v>
      </c>
      <c r="O203">
        <f>SUMIF('raw data'!B$2:B$501,B203,'raw data'!I$2:I$501)</f>
        <v>8993</v>
      </c>
      <c r="P203" t="str">
        <f>IF(OR(I203&lt;Visualization!$B$6,I203&gt;Visualization!$B$7),"Outlier","Normal")</f>
        <v>Outlier</v>
      </c>
    </row>
    <row r="204" spans="1:16" x14ac:dyDescent="0.35">
      <c r="A204" s="6" t="s">
        <v>211</v>
      </c>
      <c r="B204" s="15">
        <v>45039</v>
      </c>
      <c r="C204" s="6" t="s">
        <v>574</v>
      </c>
      <c r="D204" s="6" t="s">
        <v>612</v>
      </c>
      <c r="E204" s="6" t="s">
        <v>641</v>
      </c>
      <c r="F204" s="6">
        <v>3</v>
      </c>
      <c r="G204" s="6">
        <v>199</v>
      </c>
      <c r="H204" s="6">
        <v>0</v>
      </c>
      <c r="I204" s="6">
        <v>597</v>
      </c>
      <c r="J204" s="6" t="str">
        <f>IF(I204&gt;formulas!$B$5,"yes","no")</f>
        <v>no</v>
      </c>
      <c r="K204" s="6" t="str">
        <f t="shared" si="9"/>
        <v>no</v>
      </c>
      <c r="L204" s="6" t="str">
        <f>IF(COUNTIF('raw data'!$B$2:$B$501,B204)&gt;1,"Yes","No")</f>
        <v>Yes</v>
      </c>
      <c r="M204" t="str">
        <f t="shared" si="10"/>
        <v>no</v>
      </c>
      <c r="N204" t="str">
        <f t="shared" si="11"/>
        <v>No</v>
      </c>
      <c r="O204">
        <f>SUMIF('raw data'!B$2:B$501,B204,'raw data'!I$2:I$501)</f>
        <v>8387</v>
      </c>
      <c r="P204" t="str">
        <f>IF(OR(I204&lt;Visualization!$B$6,I204&gt;Visualization!$B$7),"Outlier","Normal")</f>
        <v>Outlier</v>
      </c>
    </row>
    <row r="205" spans="1:16" x14ac:dyDescent="0.35">
      <c r="A205" s="6" t="s">
        <v>212</v>
      </c>
      <c r="B205" s="15">
        <v>45007</v>
      </c>
      <c r="C205" s="6" t="s">
        <v>541</v>
      </c>
      <c r="D205" s="6" t="s">
        <v>613</v>
      </c>
      <c r="E205" s="6" t="s">
        <v>663</v>
      </c>
      <c r="F205" s="6">
        <v>2</v>
      </c>
      <c r="G205" s="6">
        <v>1499</v>
      </c>
      <c r="H205" s="6">
        <v>20</v>
      </c>
      <c r="I205" s="6">
        <v>2398.4</v>
      </c>
      <c r="J205" s="6" t="str">
        <f>IF(I205&gt;formulas!$B$5,"yes","no")</f>
        <v>yes</v>
      </c>
      <c r="K205" s="6" t="str">
        <f t="shared" si="9"/>
        <v>yes</v>
      </c>
      <c r="L205" s="6" t="str">
        <f>IF(COUNTIF('raw data'!$B$2:$B$501,B205)&gt;1,"Yes","No")</f>
        <v>Yes</v>
      </c>
      <c r="M205" t="str">
        <f t="shared" si="10"/>
        <v>yes</v>
      </c>
      <c r="N205" t="str">
        <f t="shared" si="11"/>
        <v>Yes</v>
      </c>
      <c r="O205">
        <f>SUMIF('raw data'!B$2:B$501,B205,'raw data'!I$2:I$501)</f>
        <v>4393.8</v>
      </c>
      <c r="P205" t="str">
        <f>IF(OR(I205&lt;Visualization!$B$6,I205&gt;Visualization!$B$7),"Outlier","Normal")</f>
        <v>Outlier</v>
      </c>
    </row>
    <row r="206" spans="1:16" x14ac:dyDescent="0.35">
      <c r="A206" s="6" t="s">
        <v>213</v>
      </c>
      <c r="B206" s="15">
        <v>45113</v>
      </c>
      <c r="C206" s="6" t="s">
        <v>515</v>
      </c>
      <c r="D206" s="6" t="s">
        <v>611</v>
      </c>
      <c r="E206" s="6" t="s">
        <v>652</v>
      </c>
      <c r="F206" s="6">
        <v>5</v>
      </c>
      <c r="G206" s="6">
        <v>1999</v>
      </c>
      <c r="H206" s="6">
        <v>0</v>
      </c>
      <c r="I206" s="6">
        <v>9995</v>
      </c>
      <c r="J206" s="6" t="str">
        <f>IF(I206&gt;formulas!$B$5,"yes","no")</f>
        <v>yes</v>
      </c>
      <c r="K206" s="6" t="str">
        <f t="shared" si="9"/>
        <v>no</v>
      </c>
      <c r="L206" s="6" t="str">
        <f>IF(COUNTIF('raw data'!$B$2:$B$501,B206)&gt;1,"Yes","No")</f>
        <v>Yes</v>
      </c>
      <c r="M206" t="str">
        <f t="shared" si="10"/>
        <v>no</v>
      </c>
      <c r="N206" t="str">
        <f t="shared" si="11"/>
        <v>Yes</v>
      </c>
      <c r="O206">
        <f>SUMIF('raw data'!B$2:B$501,B206,'raw data'!I$2:I$501)</f>
        <v>11292</v>
      </c>
      <c r="P206" t="str">
        <f>IF(OR(I206&lt;Visualization!$B$6,I206&gt;Visualization!$B$7),"Outlier","Normal")</f>
        <v>Outlier</v>
      </c>
    </row>
    <row r="207" spans="1:16" x14ac:dyDescent="0.35">
      <c r="A207" s="6" t="s">
        <v>214</v>
      </c>
      <c r="B207" s="15">
        <v>45039</v>
      </c>
      <c r="C207" s="6" t="s">
        <v>525</v>
      </c>
      <c r="D207" s="6" t="s">
        <v>611</v>
      </c>
      <c r="E207" s="6" t="s">
        <v>698</v>
      </c>
      <c r="F207" s="6">
        <v>4</v>
      </c>
      <c r="G207" s="6">
        <v>199</v>
      </c>
      <c r="H207" s="6">
        <v>0</v>
      </c>
      <c r="I207" s="6">
        <v>796</v>
      </c>
      <c r="J207" s="6" t="str">
        <f>IF(I207&gt;formulas!$B$5,"yes","no")</f>
        <v>no</v>
      </c>
      <c r="K207" s="6" t="str">
        <f t="shared" si="9"/>
        <v>no</v>
      </c>
      <c r="L207" s="6" t="str">
        <f>IF(COUNTIF('raw data'!$B$2:$B$501,B207)&gt;1,"Yes","No")</f>
        <v>Yes</v>
      </c>
      <c r="M207" t="str">
        <f t="shared" si="10"/>
        <v>no</v>
      </c>
      <c r="N207" t="str">
        <f t="shared" si="11"/>
        <v>No</v>
      </c>
      <c r="O207">
        <f>SUMIF('raw data'!B$2:B$501,B207,'raw data'!I$2:I$501)</f>
        <v>8387</v>
      </c>
      <c r="P207" t="str">
        <f>IF(OR(I207&lt;Visualization!$B$6,I207&gt;Visualization!$B$7),"Outlier","Normal")</f>
        <v>Outlier</v>
      </c>
    </row>
    <row r="208" spans="1:16" x14ac:dyDescent="0.35">
      <c r="A208" s="6" t="s">
        <v>215</v>
      </c>
      <c r="B208" s="15">
        <v>44928</v>
      </c>
      <c r="C208" s="6" t="s">
        <v>551</v>
      </c>
      <c r="D208" s="6" t="s">
        <v>610</v>
      </c>
      <c r="E208" s="6" t="s">
        <v>699</v>
      </c>
      <c r="F208" s="6">
        <v>1</v>
      </c>
      <c r="G208" s="6"/>
      <c r="H208" s="6">
        <v>0</v>
      </c>
      <c r="I208" s="6"/>
      <c r="J208" s="6" t="str">
        <f>IF(I208&gt;formulas!$B$5,"yes","no")</f>
        <v>no</v>
      </c>
      <c r="K208" s="6" t="str">
        <f t="shared" si="9"/>
        <v>no</v>
      </c>
      <c r="L208" s="6" t="str">
        <f>IF(COUNTIF('raw data'!$B$2:$B$501,B208)&gt;1,"Yes","No")</f>
        <v>Yes</v>
      </c>
      <c r="M208" t="str">
        <f t="shared" si="10"/>
        <v>no</v>
      </c>
      <c r="N208" t="str">
        <f t="shared" si="11"/>
        <v>No</v>
      </c>
      <c r="O208">
        <f>SUMIF('raw data'!B$2:B$501,B208,'raw data'!I$2:I$501)</f>
        <v>1699.15</v>
      </c>
      <c r="P208" t="str">
        <f>IF(OR(I208&lt;Visualization!$B$6,I208&gt;Visualization!$B$7),"Outlier","Normal")</f>
        <v>Normal</v>
      </c>
    </row>
    <row r="209" spans="1:16" x14ac:dyDescent="0.35">
      <c r="A209" s="6" t="s">
        <v>216</v>
      </c>
      <c r="B209" s="15">
        <v>45056</v>
      </c>
      <c r="C209" s="6" t="s">
        <v>569</v>
      </c>
      <c r="D209" s="6" t="s">
        <v>611</v>
      </c>
      <c r="E209" s="6" t="s">
        <v>674</v>
      </c>
      <c r="F209" s="6">
        <v>3</v>
      </c>
      <c r="G209" s="6">
        <v>999</v>
      </c>
      <c r="H209" s="6">
        <v>20</v>
      </c>
      <c r="I209" s="6">
        <v>2397.6</v>
      </c>
      <c r="J209" s="6" t="str">
        <f>IF(I209&gt;formulas!$B$5,"yes","no")</f>
        <v>yes</v>
      </c>
      <c r="K209" s="6" t="str">
        <f t="shared" si="9"/>
        <v>yes</v>
      </c>
      <c r="L209" s="6" t="str">
        <f>IF(COUNTIF('raw data'!$B$2:$B$501,B209)&gt;1,"Yes","No")</f>
        <v>Yes</v>
      </c>
      <c r="M209" t="str">
        <f t="shared" si="10"/>
        <v>yes</v>
      </c>
      <c r="N209" t="str">
        <f t="shared" si="11"/>
        <v>Yes</v>
      </c>
      <c r="O209">
        <f>SUMIF('raw data'!B$2:B$501,B209,'raw data'!I$2:I$501)</f>
        <v>4194</v>
      </c>
      <c r="P209" t="str">
        <f>IF(OR(I209&lt;Visualization!$B$6,I209&gt;Visualization!$B$7),"Outlier","Normal")</f>
        <v>Outlier</v>
      </c>
    </row>
    <row r="210" spans="1:16" x14ac:dyDescent="0.35">
      <c r="A210" s="6" t="s">
        <v>217</v>
      </c>
      <c r="B210" s="15">
        <v>45146</v>
      </c>
      <c r="C210" s="6" t="s">
        <v>589</v>
      </c>
      <c r="D210" s="6" t="s">
        <v>611</v>
      </c>
      <c r="E210" s="6" t="s">
        <v>644</v>
      </c>
      <c r="F210" s="6">
        <v>3</v>
      </c>
      <c r="G210" s="6">
        <v>1499</v>
      </c>
      <c r="H210" s="6">
        <v>10</v>
      </c>
      <c r="I210" s="6">
        <v>4047.3</v>
      </c>
      <c r="J210" s="6" t="str">
        <f>IF(I210&gt;formulas!$B$5,"yes","no")</f>
        <v>yes</v>
      </c>
      <c r="K210" s="6" t="str">
        <f t="shared" si="9"/>
        <v>yes</v>
      </c>
      <c r="L210" s="6" t="str">
        <f>IF(COUNTIF('raw data'!$B$2:$B$501,B210)&gt;1,"Yes","No")</f>
        <v>Yes</v>
      </c>
      <c r="M210" t="str">
        <f t="shared" si="10"/>
        <v>no</v>
      </c>
      <c r="N210" t="str">
        <f t="shared" si="11"/>
        <v>Yes</v>
      </c>
      <c r="O210">
        <f>SUMIF('raw data'!B$2:B$501,B210,'raw data'!I$2:I$501)</f>
        <v>10044.299999999999</v>
      </c>
      <c r="P210" t="str">
        <f>IF(OR(I210&lt;Visualization!$B$6,I210&gt;Visualization!$B$7),"Outlier","Normal")</f>
        <v>Outlier</v>
      </c>
    </row>
    <row r="211" spans="1:16" x14ac:dyDescent="0.35">
      <c r="A211" s="6" t="s">
        <v>218</v>
      </c>
      <c r="B211" s="15">
        <v>44980</v>
      </c>
      <c r="C211" s="6" t="s">
        <v>562</v>
      </c>
      <c r="D211" s="6" t="s">
        <v>610</v>
      </c>
      <c r="E211" s="6" t="s">
        <v>700</v>
      </c>
      <c r="F211" s="6">
        <v>2</v>
      </c>
      <c r="G211" s="6">
        <v>499</v>
      </c>
      <c r="H211" s="6">
        <v>10</v>
      </c>
      <c r="I211" s="6">
        <v>898.2</v>
      </c>
      <c r="J211" s="6" t="str">
        <f>IF(I211&gt;formulas!$B$5,"yes","no")</f>
        <v>no</v>
      </c>
      <c r="K211" s="6" t="str">
        <f t="shared" si="9"/>
        <v>yes</v>
      </c>
      <c r="L211" s="6" t="str">
        <f>IF(COUNTIF('raw data'!$B$2:$B$501,B211)&gt;1,"Yes","No")</f>
        <v>Yes</v>
      </c>
      <c r="M211" t="str">
        <f t="shared" si="10"/>
        <v>no</v>
      </c>
      <c r="N211" t="str">
        <f t="shared" si="11"/>
        <v>No</v>
      </c>
      <c r="O211">
        <f>SUMIF('raw data'!B$2:B$501,B211,'raw data'!I$2:I$501)</f>
        <v>6687.6</v>
      </c>
      <c r="P211" t="str">
        <f>IF(OR(I211&lt;Visualization!$B$6,I211&gt;Visualization!$B$7),"Outlier","Normal")</f>
        <v>Outlier</v>
      </c>
    </row>
    <row r="212" spans="1:16" x14ac:dyDescent="0.35">
      <c r="A212" s="6" t="s">
        <v>219</v>
      </c>
      <c r="B212" s="15">
        <v>45269</v>
      </c>
      <c r="C212" s="6" t="s">
        <v>514</v>
      </c>
      <c r="D212" s="6" t="s">
        <v>610</v>
      </c>
      <c r="E212" s="6" t="s">
        <v>627</v>
      </c>
      <c r="F212" s="6">
        <v>2</v>
      </c>
      <c r="G212" s="6"/>
      <c r="H212" s="6">
        <v>0</v>
      </c>
      <c r="I212" s="6"/>
      <c r="J212" s="6" t="str">
        <f>IF(I212&gt;formulas!$B$5,"yes","no")</f>
        <v>no</v>
      </c>
      <c r="K212" s="6" t="str">
        <f t="shared" si="9"/>
        <v>no</v>
      </c>
      <c r="L212" s="6" t="str">
        <f>IF(COUNTIF('raw data'!$B$2:$B$501,B212)&gt;1,"Yes","No")</f>
        <v>No</v>
      </c>
      <c r="M212" t="str">
        <f t="shared" si="10"/>
        <v>no</v>
      </c>
      <c r="N212" t="str">
        <f t="shared" si="11"/>
        <v>No</v>
      </c>
      <c r="O212">
        <f>SUMIF('raw data'!B$2:B$501,B212,'raw data'!I$2:I$501)</f>
        <v>0</v>
      </c>
      <c r="P212" t="str">
        <f>IF(OR(I212&lt;Visualization!$B$6,I212&gt;Visualization!$B$7),"Outlier","Normal")</f>
        <v>Normal</v>
      </c>
    </row>
    <row r="213" spans="1:16" x14ac:dyDescent="0.35">
      <c r="A213" s="6" t="s">
        <v>220</v>
      </c>
      <c r="B213" s="15">
        <v>45150</v>
      </c>
      <c r="C213" s="6" t="s">
        <v>565</v>
      </c>
      <c r="D213" s="6" t="s">
        <v>613</v>
      </c>
      <c r="E213" s="6" t="s">
        <v>622</v>
      </c>
      <c r="F213" s="6">
        <v>2</v>
      </c>
      <c r="G213" s="6">
        <v>999</v>
      </c>
      <c r="H213" s="6">
        <v>20</v>
      </c>
      <c r="I213" s="6">
        <v>1598.4</v>
      </c>
      <c r="J213" s="6" t="str">
        <f>IF(I213&gt;formulas!$B$5,"yes","no")</f>
        <v>yes</v>
      </c>
      <c r="K213" s="6" t="str">
        <f t="shared" si="9"/>
        <v>yes</v>
      </c>
      <c r="L213" s="6" t="str">
        <f>IF(COUNTIF('raw data'!$B$2:$B$501,B213)&gt;1,"Yes","No")</f>
        <v>No</v>
      </c>
      <c r="M213" t="str">
        <f t="shared" si="10"/>
        <v>yes</v>
      </c>
      <c r="N213" t="str">
        <f t="shared" si="11"/>
        <v>No</v>
      </c>
      <c r="O213">
        <f>SUMIF('raw data'!B$2:B$501,B213,'raw data'!I$2:I$501)</f>
        <v>1598.4</v>
      </c>
      <c r="P213" t="str">
        <f>IF(OR(I213&lt;Visualization!$B$6,I213&gt;Visualization!$B$7),"Outlier","Normal")</f>
        <v>Outlier</v>
      </c>
    </row>
    <row r="214" spans="1:16" x14ac:dyDescent="0.35">
      <c r="A214" s="6" t="s">
        <v>221</v>
      </c>
      <c r="B214" s="15">
        <v>45151</v>
      </c>
      <c r="C214" s="6" t="s">
        <v>534</v>
      </c>
      <c r="D214" s="6" t="s">
        <v>611</v>
      </c>
      <c r="E214" s="6" t="s">
        <v>627</v>
      </c>
      <c r="F214" s="6">
        <v>3</v>
      </c>
      <c r="G214" s="6">
        <v>499</v>
      </c>
      <c r="H214" s="6">
        <v>10</v>
      </c>
      <c r="I214" s="6">
        <v>1347.3</v>
      </c>
      <c r="J214" s="6" t="str">
        <f>IF(I214&gt;formulas!$B$5,"yes","no")</f>
        <v>no</v>
      </c>
      <c r="K214" s="6" t="str">
        <f t="shared" si="9"/>
        <v>yes</v>
      </c>
      <c r="L214" s="6" t="str">
        <f>IF(COUNTIF('raw data'!$B$2:$B$501,B214)&gt;1,"Yes","No")</f>
        <v>Yes</v>
      </c>
      <c r="M214" t="str">
        <f t="shared" si="10"/>
        <v>no</v>
      </c>
      <c r="N214" t="str">
        <f t="shared" si="11"/>
        <v>No</v>
      </c>
      <c r="O214">
        <f>SUMIF('raw data'!B$2:B$501,B214,'raw data'!I$2:I$501)</f>
        <v>2244.3000000000002</v>
      </c>
      <c r="P214" t="str">
        <f>IF(OR(I214&lt;Visualization!$B$6,I214&gt;Visualization!$B$7),"Outlier","Normal")</f>
        <v>Outlier</v>
      </c>
    </row>
    <row r="215" spans="1:16" x14ac:dyDescent="0.35">
      <c r="A215" s="6" t="s">
        <v>222</v>
      </c>
      <c r="B215" s="15">
        <v>45052</v>
      </c>
      <c r="C215" s="6" t="s">
        <v>510</v>
      </c>
      <c r="D215" s="6" t="s">
        <v>611</v>
      </c>
      <c r="E215" s="6" t="s">
        <v>660</v>
      </c>
      <c r="F215" s="6">
        <v>2</v>
      </c>
      <c r="G215" s="6">
        <v>299</v>
      </c>
      <c r="H215" s="6"/>
      <c r="I215" s="6">
        <v>598</v>
      </c>
      <c r="J215" s="6" t="str">
        <f>IF(I215&gt;formulas!$B$5,"yes","no")</f>
        <v>no</v>
      </c>
      <c r="K215" s="6" t="str">
        <f t="shared" si="9"/>
        <v>no</v>
      </c>
      <c r="L215" s="6" t="str">
        <f>IF(COUNTIF('raw data'!$B$2:$B$501,B215)&gt;1,"Yes","No")</f>
        <v>Yes</v>
      </c>
      <c r="M215" t="str">
        <f t="shared" si="10"/>
        <v>no</v>
      </c>
      <c r="N215" t="str">
        <f t="shared" si="11"/>
        <v>No</v>
      </c>
      <c r="O215">
        <f>SUMIF('raw data'!B$2:B$501,B215,'raw data'!I$2:I$501)</f>
        <v>1165.1500000000001</v>
      </c>
      <c r="P215" t="str">
        <f>IF(OR(I215&lt;Visualization!$B$6,I215&gt;Visualization!$B$7),"Outlier","Normal")</f>
        <v>Outlier</v>
      </c>
    </row>
    <row r="216" spans="1:16" x14ac:dyDescent="0.35">
      <c r="A216" s="6" t="s">
        <v>223</v>
      </c>
      <c r="B216" s="15">
        <v>45056</v>
      </c>
      <c r="C216" s="6" t="s">
        <v>542</v>
      </c>
      <c r="D216" s="6" t="s">
        <v>613</v>
      </c>
      <c r="E216" s="6" t="s">
        <v>631</v>
      </c>
      <c r="F216" s="6">
        <v>4</v>
      </c>
      <c r="G216" s="6">
        <v>499</v>
      </c>
      <c r="H216" s="6">
        <v>10</v>
      </c>
      <c r="I216" s="6">
        <v>1796.4</v>
      </c>
      <c r="J216" s="6" t="str">
        <f>IF(I216&gt;formulas!$B$5,"yes","no")</f>
        <v>yes</v>
      </c>
      <c r="K216" s="6" t="str">
        <f t="shared" si="9"/>
        <v>yes</v>
      </c>
      <c r="L216" s="6" t="str">
        <f>IF(COUNTIF('raw data'!$B$2:$B$501,B216)&gt;1,"Yes","No")</f>
        <v>Yes</v>
      </c>
      <c r="M216" t="str">
        <f t="shared" si="10"/>
        <v>no</v>
      </c>
      <c r="N216" t="str">
        <f t="shared" si="11"/>
        <v>Yes</v>
      </c>
      <c r="O216">
        <f>SUMIF('raw data'!B$2:B$501,B216,'raw data'!I$2:I$501)</f>
        <v>4194</v>
      </c>
      <c r="P216" t="str">
        <f>IF(OR(I216&lt;Visualization!$B$6,I216&gt;Visualization!$B$7),"Outlier","Normal")</f>
        <v>Outlier</v>
      </c>
    </row>
    <row r="217" spans="1:16" x14ac:dyDescent="0.35">
      <c r="A217" s="6" t="s">
        <v>224</v>
      </c>
      <c r="B217" s="15">
        <v>44979</v>
      </c>
      <c r="C217" s="6" t="s">
        <v>533</v>
      </c>
      <c r="D217" s="6" t="s">
        <v>609</v>
      </c>
      <c r="E217" s="6" t="s">
        <v>671</v>
      </c>
      <c r="F217" s="6">
        <v>3</v>
      </c>
      <c r="G217" s="6">
        <v>199</v>
      </c>
      <c r="H217" s="6">
        <v>10</v>
      </c>
      <c r="I217" s="6">
        <v>537.30000000000007</v>
      </c>
      <c r="J217" s="6" t="str">
        <f>IF(I217&gt;formulas!$B$5,"yes","no")</f>
        <v>no</v>
      </c>
      <c r="K217" s="6" t="str">
        <f t="shared" si="9"/>
        <v>yes</v>
      </c>
      <c r="L217" s="6" t="str">
        <f>IF(COUNTIF('raw data'!$B$2:$B$501,B217)&gt;1,"Yes","No")</f>
        <v>Yes</v>
      </c>
      <c r="M217" t="str">
        <f t="shared" si="10"/>
        <v>no</v>
      </c>
      <c r="N217" t="str">
        <f t="shared" si="11"/>
        <v>No</v>
      </c>
      <c r="O217">
        <f>SUMIF('raw data'!B$2:B$501,B217,'raw data'!I$2:I$501)</f>
        <v>3531.3</v>
      </c>
      <c r="P217" t="str">
        <f>IF(OR(I217&lt;Visualization!$B$6,I217&gt;Visualization!$B$7),"Outlier","Normal")</f>
        <v>Outlier</v>
      </c>
    </row>
    <row r="218" spans="1:16" x14ac:dyDescent="0.35">
      <c r="A218" s="6" t="s">
        <v>225</v>
      </c>
      <c r="B218" s="15">
        <v>45098</v>
      </c>
      <c r="C218" s="6" t="s">
        <v>534</v>
      </c>
      <c r="D218" s="6" t="s">
        <v>609</v>
      </c>
      <c r="E218" s="6" t="s">
        <v>647</v>
      </c>
      <c r="F218" s="6">
        <v>1</v>
      </c>
      <c r="G218" s="6">
        <v>199</v>
      </c>
      <c r="H218" s="6">
        <v>20</v>
      </c>
      <c r="I218" s="6">
        <v>159.19999999999999</v>
      </c>
      <c r="J218" s="6" t="str">
        <f>IF(I218&gt;formulas!$B$5,"yes","no")</f>
        <v>no</v>
      </c>
      <c r="K218" s="6" t="str">
        <f t="shared" si="9"/>
        <v>yes</v>
      </c>
      <c r="L218" s="6" t="str">
        <f>IF(COUNTIF('raw data'!$B$2:$B$501,B218)&gt;1,"Yes","No")</f>
        <v>Yes</v>
      </c>
      <c r="M218" t="str">
        <f t="shared" si="10"/>
        <v>yes</v>
      </c>
      <c r="N218" t="str">
        <f t="shared" si="11"/>
        <v>No</v>
      </c>
      <c r="O218">
        <f>SUMIF('raw data'!B$2:B$501,B218,'raw data'!I$2:I$501)</f>
        <v>2452.1999999999998</v>
      </c>
      <c r="P218" t="str">
        <f>IF(OR(I218&lt;Visualization!$B$6,I218&gt;Visualization!$B$7),"Outlier","Normal")</f>
        <v>Outlier</v>
      </c>
    </row>
    <row r="219" spans="1:16" x14ac:dyDescent="0.35">
      <c r="A219" s="6" t="s">
        <v>226</v>
      </c>
      <c r="B219" s="15">
        <v>45144</v>
      </c>
      <c r="C219" s="6" t="s">
        <v>540</v>
      </c>
      <c r="D219" s="6" t="s">
        <v>609</v>
      </c>
      <c r="E219" s="6" t="s">
        <v>653</v>
      </c>
      <c r="F219" s="6">
        <v>3</v>
      </c>
      <c r="G219" s="6">
        <v>299</v>
      </c>
      <c r="H219" s="6"/>
      <c r="I219" s="6">
        <v>897</v>
      </c>
      <c r="J219" s="6" t="str">
        <f>IF(I219&gt;formulas!$B$5,"yes","no")</f>
        <v>no</v>
      </c>
      <c r="K219" s="6" t="str">
        <f t="shared" si="9"/>
        <v>no</v>
      </c>
      <c r="L219" s="6" t="str">
        <f>IF(COUNTIF('raw data'!$B$2:$B$501,B219)&gt;1,"Yes","No")</f>
        <v>Yes</v>
      </c>
      <c r="M219" t="str">
        <f t="shared" si="10"/>
        <v>no</v>
      </c>
      <c r="N219" t="str">
        <f t="shared" si="11"/>
        <v>No</v>
      </c>
      <c r="O219">
        <f>SUMIF('raw data'!B$2:B$501,B219,'raw data'!I$2:I$501)</f>
        <v>6171.7</v>
      </c>
      <c r="P219" t="str">
        <f>IF(OR(I219&lt;Visualization!$B$6,I219&gt;Visualization!$B$7),"Outlier","Normal")</f>
        <v>Outlier</v>
      </c>
    </row>
    <row r="220" spans="1:16" x14ac:dyDescent="0.35">
      <c r="A220" s="6" t="s">
        <v>227</v>
      </c>
      <c r="B220" s="15">
        <v>45086</v>
      </c>
      <c r="C220" s="6" t="s">
        <v>599</v>
      </c>
      <c r="D220" s="6" t="s">
        <v>613</v>
      </c>
      <c r="E220" s="6" t="s">
        <v>619</v>
      </c>
      <c r="F220" s="6">
        <v>1</v>
      </c>
      <c r="G220" s="6"/>
      <c r="H220" s="6">
        <v>20</v>
      </c>
      <c r="I220" s="6"/>
      <c r="J220" s="6" t="str">
        <f>IF(I220&gt;formulas!$B$5,"yes","no")</f>
        <v>no</v>
      </c>
      <c r="K220" s="6" t="str">
        <f t="shared" si="9"/>
        <v>yes</v>
      </c>
      <c r="L220" s="6" t="str">
        <f>IF(COUNTIF('raw data'!$B$2:$B$501,B220)&gt;1,"Yes","No")</f>
        <v>Yes</v>
      </c>
      <c r="M220" t="str">
        <f t="shared" si="10"/>
        <v>yes</v>
      </c>
      <c r="N220" t="str">
        <f t="shared" si="11"/>
        <v>No</v>
      </c>
      <c r="O220">
        <f>SUMIF('raw data'!B$2:B$501,B220,'raw data'!I$2:I$501)</f>
        <v>2919.25</v>
      </c>
      <c r="P220" t="str">
        <f>IF(OR(I220&lt;Visualization!$B$6,I220&gt;Visualization!$B$7),"Outlier","Normal")</f>
        <v>Normal</v>
      </c>
    </row>
    <row r="221" spans="1:16" x14ac:dyDescent="0.35">
      <c r="A221" s="6" t="s">
        <v>228</v>
      </c>
      <c r="B221" s="15">
        <v>45124</v>
      </c>
      <c r="C221" s="6" t="s">
        <v>516</v>
      </c>
      <c r="D221" s="6" t="s">
        <v>611</v>
      </c>
      <c r="E221" s="6" t="s">
        <v>701</v>
      </c>
      <c r="F221" s="6">
        <v>3</v>
      </c>
      <c r="G221" s="6">
        <v>999</v>
      </c>
      <c r="H221" s="6">
        <v>0</v>
      </c>
      <c r="I221" s="6">
        <v>2997</v>
      </c>
      <c r="J221" s="6" t="str">
        <f>IF(I221&gt;formulas!$B$5,"yes","no")</f>
        <v>yes</v>
      </c>
      <c r="K221" s="6" t="str">
        <f t="shared" si="9"/>
        <v>no</v>
      </c>
      <c r="L221" s="6" t="str">
        <f>IF(COUNTIF('raw data'!$B$2:$B$501,B221)&gt;1,"Yes","No")</f>
        <v>Yes</v>
      </c>
      <c r="M221" t="str">
        <f t="shared" si="10"/>
        <v>no</v>
      </c>
      <c r="N221" t="str">
        <f t="shared" si="11"/>
        <v>Yes</v>
      </c>
      <c r="O221">
        <f>SUMIF('raw data'!B$2:B$501,B221,'raw data'!I$2:I$501)</f>
        <v>9215.9500000000007</v>
      </c>
      <c r="P221" t="str">
        <f>IF(OR(I221&lt;Visualization!$B$6,I221&gt;Visualization!$B$7),"Outlier","Normal")</f>
        <v>Outlier</v>
      </c>
    </row>
    <row r="222" spans="1:16" x14ac:dyDescent="0.35">
      <c r="A222" s="6" t="s">
        <v>229</v>
      </c>
      <c r="B222" s="15">
        <v>45173</v>
      </c>
      <c r="C222" s="6" t="s">
        <v>565</v>
      </c>
      <c r="D222" s="6" t="s">
        <v>613</v>
      </c>
      <c r="E222" s="6" t="s">
        <v>660</v>
      </c>
      <c r="F222" s="6">
        <v>3</v>
      </c>
      <c r="G222" s="6">
        <v>499</v>
      </c>
      <c r="H222" s="6">
        <v>15</v>
      </c>
      <c r="I222" s="6">
        <v>1272.45</v>
      </c>
      <c r="J222" s="6" t="str">
        <f>IF(I222&gt;formulas!$B$5,"yes","no")</f>
        <v>no</v>
      </c>
      <c r="K222" s="6" t="str">
        <f t="shared" si="9"/>
        <v>yes</v>
      </c>
      <c r="L222" s="6" t="str">
        <f>IF(COUNTIF('raw data'!$B$2:$B$501,B222)&gt;1,"Yes","No")</f>
        <v>Yes</v>
      </c>
      <c r="M222" t="str">
        <f t="shared" si="10"/>
        <v>no</v>
      </c>
      <c r="N222" t="str">
        <f t="shared" si="11"/>
        <v>No</v>
      </c>
      <c r="O222">
        <f>SUMIF('raw data'!B$2:B$501,B222,'raw data'!I$2:I$501)</f>
        <v>3071.55</v>
      </c>
      <c r="P222" t="str">
        <f>IF(OR(I222&lt;Visualization!$B$6,I222&gt;Visualization!$B$7),"Outlier","Normal")</f>
        <v>Outlier</v>
      </c>
    </row>
    <row r="223" spans="1:16" x14ac:dyDescent="0.35">
      <c r="A223" s="6" t="s">
        <v>230</v>
      </c>
      <c r="B223" s="15">
        <v>45250</v>
      </c>
      <c r="C223" s="6" t="s">
        <v>510</v>
      </c>
      <c r="D223" s="6" t="s">
        <v>613</v>
      </c>
      <c r="E223" s="6" t="s">
        <v>660</v>
      </c>
      <c r="F223" s="6">
        <v>1</v>
      </c>
      <c r="G223" s="6">
        <v>199</v>
      </c>
      <c r="H223" s="6">
        <v>10</v>
      </c>
      <c r="I223" s="6">
        <v>179.1</v>
      </c>
      <c r="J223" s="6" t="str">
        <f>IF(I223&gt;formulas!$B$5,"yes","no")</f>
        <v>no</v>
      </c>
      <c r="K223" s="6" t="str">
        <f t="shared" si="9"/>
        <v>yes</v>
      </c>
      <c r="L223" s="6" t="str">
        <f>IF(COUNTIF('raw data'!$B$2:$B$501,B223)&gt;1,"Yes","No")</f>
        <v>No</v>
      </c>
      <c r="M223" t="str">
        <f t="shared" si="10"/>
        <v>no</v>
      </c>
      <c r="N223" t="str">
        <f t="shared" si="11"/>
        <v>No</v>
      </c>
      <c r="O223">
        <f>SUMIF('raw data'!B$2:B$501,B223,'raw data'!I$2:I$501)</f>
        <v>179.1</v>
      </c>
      <c r="P223" t="str">
        <f>IF(OR(I223&lt;Visualization!$B$6,I223&gt;Visualization!$B$7),"Outlier","Normal")</f>
        <v>Outlier</v>
      </c>
    </row>
    <row r="224" spans="1:16" x14ac:dyDescent="0.35">
      <c r="A224" s="6" t="s">
        <v>231</v>
      </c>
      <c r="B224" s="15">
        <v>45129</v>
      </c>
      <c r="C224" s="6" t="s">
        <v>600</v>
      </c>
      <c r="D224" s="6" t="s">
        <v>609</v>
      </c>
      <c r="E224" s="6" t="s">
        <v>699</v>
      </c>
      <c r="F224" s="6">
        <v>2</v>
      </c>
      <c r="G224" s="6"/>
      <c r="H224" s="6">
        <v>15</v>
      </c>
      <c r="I224" s="6"/>
      <c r="J224" s="6" t="str">
        <f>IF(I224&gt;formulas!$B$5,"yes","no")</f>
        <v>no</v>
      </c>
      <c r="K224" s="6" t="str">
        <f t="shared" si="9"/>
        <v>yes</v>
      </c>
      <c r="L224" s="6" t="str">
        <f>IF(COUNTIF('raw data'!$B$2:$B$501,B224)&gt;1,"Yes","No")</f>
        <v>No</v>
      </c>
      <c r="M224" t="str">
        <f t="shared" si="10"/>
        <v>no</v>
      </c>
      <c r="N224" t="str">
        <f t="shared" si="11"/>
        <v>No</v>
      </c>
      <c r="O224">
        <f>SUMIF('raw data'!B$2:B$501,B224,'raw data'!I$2:I$501)</f>
        <v>0</v>
      </c>
      <c r="P224" t="str">
        <f>IF(OR(I224&lt;Visualization!$B$6,I224&gt;Visualization!$B$7),"Outlier","Normal")</f>
        <v>Normal</v>
      </c>
    </row>
    <row r="225" spans="1:16" x14ac:dyDescent="0.35">
      <c r="A225" s="6" t="s">
        <v>232</v>
      </c>
      <c r="B225" s="15">
        <v>45110</v>
      </c>
      <c r="C225" s="6" t="s">
        <v>561</v>
      </c>
      <c r="D225" s="6" t="s">
        <v>612</v>
      </c>
      <c r="E225" s="6" t="s">
        <v>652</v>
      </c>
      <c r="F225" s="6">
        <v>1</v>
      </c>
      <c r="G225" s="6">
        <v>299</v>
      </c>
      <c r="H225" s="6">
        <v>20</v>
      </c>
      <c r="I225" s="6">
        <v>239.2</v>
      </c>
      <c r="J225" s="6" t="str">
        <f>IF(I225&gt;formulas!$B$5,"yes","no")</f>
        <v>no</v>
      </c>
      <c r="K225" s="6" t="str">
        <f t="shared" si="9"/>
        <v>yes</v>
      </c>
      <c r="L225" s="6" t="str">
        <f>IF(COUNTIF('raw data'!$B$2:$B$501,B225)&gt;1,"Yes","No")</f>
        <v>No</v>
      </c>
      <c r="M225" t="str">
        <f t="shared" si="10"/>
        <v>yes</v>
      </c>
      <c r="N225" t="str">
        <f t="shared" si="11"/>
        <v>No</v>
      </c>
      <c r="O225">
        <f>SUMIF('raw data'!B$2:B$501,B225,'raw data'!I$2:I$501)</f>
        <v>239.2</v>
      </c>
      <c r="P225" t="str">
        <f>IF(OR(I225&lt;Visualization!$B$6,I225&gt;Visualization!$B$7),"Outlier","Normal")</f>
        <v>Outlier</v>
      </c>
    </row>
    <row r="226" spans="1:16" x14ac:dyDescent="0.35">
      <c r="A226" s="6" t="s">
        <v>233</v>
      </c>
      <c r="B226" s="15">
        <v>45049</v>
      </c>
      <c r="C226" s="6" t="s">
        <v>547</v>
      </c>
      <c r="D226" s="6" t="s">
        <v>611</v>
      </c>
      <c r="E226" s="6" t="s">
        <v>687</v>
      </c>
      <c r="F226" s="6">
        <v>1</v>
      </c>
      <c r="G226" s="6">
        <v>1999</v>
      </c>
      <c r="H226" s="6">
        <v>20</v>
      </c>
      <c r="I226" s="6">
        <v>1599.2</v>
      </c>
      <c r="J226" s="6" t="str">
        <f>IF(I226&gt;formulas!$B$5,"yes","no")</f>
        <v>yes</v>
      </c>
      <c r="K226" s="6" t="str">
        <f t="shared" si="9"/>
        <v>yes</v>
      </c>
      <c r="L226" s="6" t="str">
        <f>IF(COUNTIF('raw data'!$B$2:$B$501,B226)&gt;1,"Yes","No")</f>
        <v>No</v>
      </c>
      <c r="M226" t="str">
        <f t="shared" si="10"/>
        <v>yes</v>
      </c>
      <c r="N226" t="str">
        <f t="shared" si="11"/>
        <v>No</v>
      </c>
      <c r="O226">
        <f>SUMIF('raw data'!B$2:B$501,B226,'raw data'!I$2:I$501)</f>
        <v>1599.2</v>
      </c>
      <c r="P226" t="str">
        <f>IF(OR(I226&lt;Visualization!$B$6,I226&gt;Visualization!$B$7),"Outlier","Normal")</f>
        <v>Outlier</v>
      </c>
    </row>
    <row r="227" spans="1:16" x14ac:dyDescent="0.35">
      <c r="A227" s="6" t="s">
        <v>234</v>
      </c>
      <c r="B227" s="15">
        <v>45181</v>
      </c>
      <c r="C227" s="6" t="s">
        <v>580</v>
      </c>
      <c r="D227" s="6" t="s">
        <v>609</v>
      </c>
      <c r="E227" s="6" t="s">
        <v>643</v>
      </c>
      <c r="F227" s="6">
        <v>2</v>
      </c>
      <c r="G227" s="6">
        <v>1499</v>
      </c>
      <c r="H227" s="6">
        <v>20</v>
      </c>
      <c r="I227" s="6">
        <v>2398.4</v>
      </c>
      <c r="J227" s="6" t="str">
        <f>IF(I227&gt;formulas!$B$5,"yes","no")</f>
        <v>yes</v>
      </c>
      <c r="K227" s="6" t="str">
        <f t="shared" si="9"/>
        <v>yes</v>
      </c>
      <c r="L227" s="6" t="str">
        <f>IF(COUNTIF('raw data'!$B$2:$B$501,B227)&gt;1,"Yes","No")</f>
        <v>Yes</v>
      </c>
      <c r="M227" t="str">
        <f t="shared" si="10"/>
        <v>yes</v>
      </c>
      <c r="N227" t="str">
        <f t="shared" si="11"/>
        <v>Yes</v>
      </c>
      <c r="O227">
        <f>SUMIF('raw data'!B$2:B$501,B227,'raw data'!I$2:I$501)</f>
        <v>2398.4</v>
      </c>
      <c r="P227" t="str">
        <f>IF(OR(I227&lt;Visualization!$B$6,I227&gt;Visualization!$B$7),"Outlier","Normal")</f>
        <v>Outlier</v>
      </c>
    </row>
    <row r="228" spans="1:16" x14ac:dyDescent="0.35">
      <c r="A228" s="6" t="s">
        <v>235</v>
      </c>
      <c r="B228" s="15">
        <v>45220</v>
      </c>
      <c r="C228" s="6" t="s">
        <v>593</v>
      </c>
      <c r="D228" s="6" t="s">
        <v>612</v>
      </c>
      <c r="E228" s="6" t="s">
        <v>688</v>
      </c>
      <c r="F228" s="6">
        <v>2</v>
      </c>
      <c r="G228" s="6">
        <v>1999</v>
      </c>
      <c r="H228" s="6">
        <v>15</v>
      </c>
      <c r="I228" s="6">
        <v>3398.3</v>
      </c>
      <c r="J228" s="6" t="str">
        <f>IF(I228&gt;formulas!$B$5,"yes","no")</f>
        <v>yes</v>
      </c>
      <c r="K228" s="6" t="str">
        <f t="shared" si="9"/>
        <v>yes</v>
      </c>
      <c r="L228" s="6" t="str">
        <f>IF(COUNTIF('raw data'!$B$2:$B$501,B228)&gt;1,"Yes","No")</f>
        <v>Yes</v>
      </c>
      <c r="M228" t="str">
        <f t="shared" si="10"/>
        <v>no</v>
      </c>
      <c r="N228" t="str">
        <f t="shared" si="11"/>
        <v>Yes</v>
      </c>
      <c r="O228">
        <f>SUMIF('raw data'!B$2:B$501,B228,'raw data'!I$2:I$501)</f>
        <v>3398.3</v>
      </c>
      <c r="P228" t="str">
        <f>IF(OR(I228&lt;Visualization!$B$6,I228&gt;Visualization!$B$7),"Outlier","Normal")</f>
        <v>Outlier</v>
      </c>
    </row>
    <row r="229" spans="1:16" x14ac:dyDescent="0.35">
      <c r="A229" s="6" t="s">
        <v>236</v>
      </c>
      <c r="B229" s="15">
        <v>45206</v>
      </c>
      <c r="C229" s="6" t="s">
        <v>557</v>
      </c>
      <c r="D229" s="6" t="s">
        <v>612</v>
      </c>
      <c r="E229" s="6" t="s">
        <v>702</v>
      </c>
      <c r="F229" s="6"/>
      <c r="G229" s="6">
        <v>1999</v>
      </c>
      <c r="H229" s="6">
        <v>20</v>
      </c>
      <c r="I229" s="6"/>
      <c r="J229" s="6" t="str">
        <f>IF(I229&gt;formulas!$B$5,"yes","no")</f>
        <v>no</v>
      </c>
      <c r="K229" s="6" t="str">
        <f t="shared" si="9"/>
        <v>yes</v>
      </c>
      <c r="L229" s="6" t="str">
        <f>IF(COUNTIF('raw data'!$B$2:$B$501,B229)&gt;1,"Yes","No")</f>
        <v>Yes</v>
      </c>
      <c r="M229" t="str">
        <f t="shared" si="10"/>
        <v>yes</v>
      </c>
      <c r="N229" t="str">
        <f t="shared" si="11"/>
        <v>No</v>
      </c>
      <c r="O229">
        <f>SUMIF('raw data'!B$2:B$501,B229,'raw data'!I$2:I$501)</f>
        <v>8893.6999999999989</v>
      </c>
      <c r="P229" t="str">
        <f>IF(OR(I229&lt;Visualization!$B$6,I229&gt;Visualization!$B$7),"Outlier","Normal")</f>
        <v>Normal</v>
      </c>
    </row>
    <row r="230" spans="1:16" x14ac:dyDescent="0.35">
      <c r="A230" s="6" t="s">
        <v>237</v>
      </c>
      <c r="B230" s="15">
        <v>45251</v>
      </c>
      <c r="C230" s="6" t="s">
        <v>546</v>
      </c>
      <c r="D230" s="6" t="s">
        <v>610</v>
      </c>
      <c r="E230" s="6" t="s">
        <v>695</v>
      </c>
      <c r="F230" s="6">
        <v>2</v>
      </c>
      <c r="G230" s="6">
        <v>199</v>
      </c>
      <c r="H230" s="6">
        <v>0</v>
      </c>
      <c r="I230" s="6">
        <v>398</v>
      </c>
      <c r="J230" s="6" t="str">
        <f>IF(I230&gt;formulas!$B$5,"yes","no")</f>
        <v>no</v>
      </c>
      <c r="K230" s="6" t="str">
        <f t="shared" si="9"/>
        <v>no</v>
      </c>
      <c r="L230" s="6" t="str">
        <f>IF(COUNTIF('raw data'!$B$2:$B$501,B230)&gt;1,"Yes","No")</f>
        <v>Yes</v>
      </c>
      <c r="M230" t="str">
        <f t="shared" si="10"/>
        <v>no</v>
      </c>
      <c r="N230" t="str">
        <f t="shared" si="11"/>
        <v>No</v>
      </c>
      <c r="O230">
        <f>SUMIF('raw data'!B$2:B$501,B230,'raw data'!I$2:I$501)</f>
        <v>2701.8500000000004</v>
      </c>
      <c r="P230" t="str">
        <f>IF(OR(I230&lt;Visualization!$B$6,I230&gt;Visualization!$B$7),"Outlier","Normal")</f>
        <v>Outlier</v>
      </c>
    </row>
    <row r="231" spans="1:16" x14ac:dyDescent="0.35">
      <c r="A231" s="6" t="s">
        <v>238</v>
      </c>
      <c r="B231" s="15">
        <v>45024</v>
      </c>
      <c r="C231" s="6" t="s">
        <v>518</v>
      </c>
      <c r="D231" s="6" t="s">
        <v>611</v>
      </c>
      <c r="E231" s="6" t="s">
        <v>699</v>
      </c>
      <c r="F231" s="6">
        <v>2</v>
      </c>
      <c r="G231" s="6">
        <v>299</v>
      </c>
      <c r="H231" s="6">
        <v>20</v>
      </c>
      <c r="I231" s="6">
        <v>478.4</v>
      </c>
      <c r="J231" s="6" t="str">
        <f>IF(I231&gt;formulas!$B$5,"yes","no")</f>
        <v>no</v>
      </c>
      <c r="K231" s="6" t="str">
        <f t="shared" si="9"/>
        <v>yes</v>
      </c>
      <c r="L231" s="6" t="str">
        <f>IF(COUNTIF('raw data'!$B$2:$B$501,B231)&gt;1,"Yes","No")</f>
        <v>No</v>
      </c>
      <c r="M231" t="str">
        <f t="shared" si="10"/>
        <v>yes</v>
      </c>
      <c r="N231" t="str">
        <f t="shared" si="11"/>
        <v>No</v>
      </c>
      <c r="O231">
        <f>SUMIF('raw data'!B$2:B$501,B231,'raw data'!I$2:I$501)</f>
        <v>478.4</v>
      </c>
      <c r="P231" t="str">
        <f>IF(OR(I231&lt;Visualization!$B$6,I231&gt;Visualization!$B$7),"Outlier","Normal")</f>
        <v>Outlier</v>
      </c>
    </row>
    <row r="232" spans="1:16" x14ac:dyDescent="0.35">
      <c r="A232" s="6" t="s">
        <v>239</v>
      </c>
      <c r="B232" s="15">
        <v>45124</v>
      </c>
      <c r="C232" s="6" t="s">
        <v>513</v>
      </c>
      <c r="D232" s="6" t="s">
        <v>612</v>
      </c>
      <c r="E232" s="6" t="s">
        <v>681</v>
      </c>
      <c r="F232" s="6">
        <v>3</v>
      </c>
      <c r="G232" s="6">
        <v>499</v>
      </c>
      <c r="H232" s="6">
        <v>5</v>
      </c>
      <c r="I232" s="6">
        <v>1422.15</v>
      </c>
      <c r="J232" s="6" t="str">
        <f>IF(I232&gt;formulas!$B$5,"yes","no")</f>
        <v>yes</v>
      </c>
      <c r="K232" s="6" t="str">
        <f t="shared" si="9"/>
        <v>yes</v>
      </c>
      <c r="L232" s="6" t="str">
        <f>IF(COUNTIF('raw data'!$B$2:$B$501,B232)&gt;1,"Yes","No")</f>
        <v>Yes</v>
      </c>
      <c r="M232" t="str">
        <f t="shared" si="10"/>
        <v>no</v>
      </c>
      <c r="N232" t="str">
        <f t="shared" si="11"/>
        <v>Yes</v>
      </c>
      <c r="O232">
        <f>SUMIF('raw data'!B$2:B$501,B232,'raw data'!I$2:I$501)</f>
        <v>9215.9500000000007</v>
      </c>
      <c r="P232" t="str">
        <f>IF(OR(I232&lt;Visualization!$B$6,I232&gt;Visualization!$B$7),"Outlier","Normal")</f>
        <v>Outlier</v>
      </c>
    </row>
    <row r="233" spans="1:16" x14ac:dyDescent="0.35">
      <c r="A233" s="6" t="s">
        <v>240</v>
      </c>
      <c r="B233" s="15">
        <v>45166</v>
      </c>
      <c r="C233" s="6" t="s">
        <v>592</v>
      </c>
      <c r="D233" s="6" t="s">
        <v>609</v>
      </c>
      <c r="E233" s="6" t="s">
        <v>658</v>
      </c>
      <c r="F233" s="6">
        <v>1</v>
      </c>
      <c r="G233" s="6">
        <v>1999</v>
      </c>
      <c r="H233" s="6">
        <v>15</v>
      </c>
      <c r="I233" s="6">
        <v>1699.15</v>
      </c>
      <c r="J233" s="6" t="str">
        <f>IF(I233&gt;formulas!$B$5,"yes","no")</f>
        <v>yes</v>
      </c>
      <c r="K233" s="6" t="str">
        <f t="shared" si="9"/>
        <v>yes</v>
      </c>
      <c r="L233" s="6" t="str">
        <f>IF(COUNTIF('raw data'!$B$2:$B$501,B233)&gt;1,"Yes","No")</f>
        <v>No</v>
      </c>
      <c r="M233" t="str">
        <f t="shared" si="10"/>
        <v>no</v>
      </c>
      <c r="N233" t="str">
        <f t="shared" si="11"/>
        <v>No</v>
      </c>
      <c r="O233">
        <f>SUMIF('raw data'!B$2:B$501,B233,'raw data'!I$2:I$501)</f>
        <v>1699.15</v>
      </c>
      <c r="P233" t="str">
        <f>IF(OR(I233&lt;Visualization!$B$6,I233&gt;Visualization!$B$7),"Outlier","Normal")</f>
        <v>Outlier</v>
      </c>
    </row>
    <row r="234" spans="1:16" x14ac:dyDescent="0.35">
      <c r="A234" s="6" t="s">
        <v>241</v>
      </c>
      <c r="B234" s="15">
        <v>45070</v>
      </c>
      <c r="C234" s="6" t="s">
        <v>510</v>
      </c>
      <c r="D234" s="6" t="s">
        <v>610</v>
      </c>
      <c r="E234" s="6" t="s">
        <v>671</v>
      </c>
      <c r="F234" s="6"/>
      <c r="G234" s="6">
        <v>1999</v>
      </c>
      <c r="H234" s="6">
        <v>5</v>
      </c>
      <c r="I234" s="6"/>
      <c r="J234" s="6" t="str">
        <f>IF(I234&gt;formulas!$B$5,"yes","no")</f>
        <v>no</v>
      </c>
      <c r="K234" s="6" t="str">
        <f t="shared" si="9"/>
        <v>yes</v>
      </c>
      <c r="L234" s="6" t="str">
        <f>IF(COUNTIF('raw data'!$B$2:$B$501,B234)&gt;1,"Yes","No")</f>
        <v>Yes</v>
      </c>
      <c r="M234" t="str">
        <f t="shared" si="10"/>
        <v>no</v>
      </c>
      <c r="N234" t="str">
        <f t="shared" si="11"/>
        <v>No</v>
      </c>
      <c r="O234">
        <f>SUMIF('raw data'!B$2:B$501,B234,'raw data'!I$2:I$501)</f>
        <v>3092.35</v>
      </c>
      <c r="P234" t="str">
        <f>IF(OR(I234&lt;Visualization!$B$6,I234&gt;Visualization!$B$7),"Outlier","Normal")</f>
        <v>Normal</v>
      </c>
    </row>
    <row r="235" spans="1:16" x14ac:dyDescent="0.35">
      <c r="A235" s="6" t="s">
        <v>242</v>
      </c>
      <c r="B235" s="15">
        <v>45023</v>
      </c>
      <c r="C235" s="6" t="s">
        <v>527</v>
      </c>
      <c r="D235" s="6" t="s">
        <v>611</v>
      </c>
      <c r="E235" s="6" t="s">
        <v>620</v>
      </c>
      <c r="F235" s="6">
        <v>3</v>
      </c>
      <c r="G235" s="6">
        <v>999</v>
      </c>
      <c r="H235" s="6">
        <v>20</v>
      </c>
      <c r="I235" s="6">
        <v>2397.6</v>
      </c>
      <c r="J235" s="6" t="str">
        <f>IF(I235&gt;formulas!$B$5,"yes","no")</f>
        <v>yes</v>
      </c>
      <c r="K235" s="6" t="str">
        <f t="shared" si="9"/>
        <v>yes</v>
      </c>
      <c r="L235" s="6" t="str">
        <f>IF(COUNTIF('raw data'!$B$2:$B$501,B235)&gt;1,"Yes","No")</f>
        <v>Yes</v>
      </c>
      <c r="M235" t="str">
        <f t="shared" si="10"/>
        <v>yes</v>
      </c>
      <c r="N235" t="str">
        <f t="shared" si="11"/>
        <v>Yes</v>
      </c>
      <c r="O235">
        <f>SUMIF('raw data'!B$2:B$501,B235,'raw data'!I$2:I$501)</f>
        <v>7495.0499999999993</v>
      </c>
      <c r="P235" t="str">
        <f>IF(OR(I235&lt;Visualization!$B$6,I235&gt;Visualization!$B$7),"Outlier","Normal")</f>
        <v>Outlier</v>
      </c>
    </row>
    <row r="236" spans="1:16" x14ac:dyDescent="0.35">
      <c r="A236" s="6" t="s">
        <v>243</v>
      </c>
      <c r="B236" s="15">
        <v>45127</v>
      </c>
      <c r="C236" s="6" t="s">
        <v>528</v>
      </c>
      <c r="D236" s="6" t="s">
        <v>613</v>
      </c>
      <c r="E236" s="6" t="s">
        <v>659</v>
      </c>
      <c r="F236" s="6">
        <v>4</v>
      </c>
      <c r="G236" s="6">
        <v>199</v>
      </c>
      <c r="H236" s="6">
        <v>0</v>
      </c>
      <c r="I236" s="6">
        <v>796</v>
      </c>
      <c r="J236" s="6" t="str">
        <f>IF(I236&gt;formulas!$B$5,"yes","no")</f>
        <v>no</v>
      </c>
      <c r="K236" s="6" t="str">
        <f t="shared" si="9"/>
        <v>no</v>
      </c>
      <c r="L236" s="6" t="str">
        <f>IF(COUNTIF('raw data'!$B$2:$B$501,B236)&gt;1,"Yes","No")</f>
        <v>Yes</v>
      </c>
      <c r="M236" t="str">
        <f t="shared" si="10"/>
        <v>no</v>
      </c>
      <c r="N236" t="str">
        <f t="shared" si="11"/>
        <v>No</v>
      </c>
      <c r="O236">
        <f>SUMIF('raw data'!B$2:B$501,B236,'raw data'!I$2:I$501)</f>
        <v>1812.6</v>
      </c>
      <c r="P236" t="str">
        <f>IF(OR(I236&lt;Visualization!$B$6,I236&gt;Visualization!$B$7),"Outlier","Normal")</f>
        <v>Outlier</v>
      </c>
    </row>
    <row r="237" spans="1:16" x14ac:dyDescent="0.35">
      <c r="A237" s="6" t="s">
        <v>244</v>
      </c>
      <c r="B237" s="15">
        <v>45050</v>
      </c>
      <c r="C237" s="6" t="s">
        <v>530</v>
      </c>
      <c r="D237" s="6" t="s">
        <v>609</v>
      </c>
      <c r="E237" s="6" t="s">
        <v>634</v>
      </c>
      <c r="F237" s="6">
        <v>1</v>
      </c>
      <c r="G237" s="6">
        <v>199</v>
      </c>
      <c r="H237" s="6">
        <v>10</v>
      </c>
      <c r="I237" s="6">
        <v>179.1</v>
      </c>
      <c r="J237" s="6" t="str">
        <f>IF(I237&gt;formulas!$B$5,"yes","no")</f>
        <v>no</v>
      </c>
      <c r="K237" s="6" t="str">
        <f t="shared" si="9"/>
        <v>yes</v>
      </c>
      <c r="L237" s="6" t="str">
        <f>IF(COUNTIF('raw data'!$B$2:$B$501,B237)&gt;1,"Yes","No")</f>
        <v>Yes</v>
      </c>
      <c r="M237" t="str">
        <f t="shared" si="10"/>
        <v>no</v>
      </c>
      <c r="N237" t="str">
        <f t="shared" si="11"/>
        <v>No</v>
      </c>
      <c r="O237">
        <f>SUMIF('raw data'!B$2:B$501,B237,'raw data'!I$2:I$501)</f>
        <v>179.1</v>
      </c>
      <c r="P237" t="str">
        <f>IF(OR(I237&lt;Visualization!$B$6,I237&gt;Visualization!$B$7),"Outlier","Normal")</f>
        <v>Outlier</v>
      </c>
    </row>
    <row r="238" spans="1:16" x14ac:dyDescent="0.35">
      <c r="A238" s="6" t="s">
        <v>245</v>
      </c>
      <c r="B238" s="15">
        <v>45113</v>
      </c>
      <c r="C238" s="6" t="s">
        <v>517</v>
      </c>
      <c r="D238" s="6" t="s">
        <v>612</v>
      </c>
      <c r="E238" s="6" t="s">
        <v>703</v>
      </c>
      <c r="F238" s="6">
        <v>2</v>
      </c>
      <c r="G238" s="6">
        <v>499</v>
      </c>
      <c r="H238" s="6"/>
      <c r="I238" s="6">
        <v>998</v>
      </c>
      <c r="J238" s="6" t="str">
        <f>IF(I238&gt;formulas!$B$5,"yes","no")</f>
        <v>no</v>
      </c>
      <c r="K238" s="6" t="str">
        <f t="shared" si="9"/>
        <v>no</v>
      </c>
      <c r="L238" s="6" t="str">
        <f>IF(COUNTIF('raw data'!$B$2:$B$501,B238)&gt;1,"Yes","No")</f>
        <v>Yes</v>
      </c>
      <c r="M238" t="str">
        <f t="shared" si="10"/>
        <v>no</v>
      </c>
      <c r="N238" t="str">
        <f t="shared" si="11"/>
        <v>No</v>
      </c>
      <c r="O238">
        <f>SUMIF('raw data'!B$2:B$501,B238,'raw data'!I$2:I$501)</f>
        <v>11292</v>
      </c>
      <c r="P238" t="str">
        <f>IF(OR(I238&lt;Visualization!$B$6,I238&gt;Visualization!$B$7),"Outlier","Normal")</f>
        <v>Outlier</v>
      </c>
    </row>
    <row r="239" spans="1:16" x14ac:dyDescent="0.35">
      <c r="A239" s="6" t="s">
        <v>246</v>
      </c>
      <c r="B239" s="15">
        <v>45252</v>
      </c>
      <c r="C239" s="6" t="s">
        <v>595</v>
      </c>
      <c r="D239" s="6" t="s">
        <v>612</v>
      </c>
      <c r="E239" s="6" t="s">
        <v>643</v>
      </c>
      <c r="F239" s="6">
        <v>2</v>
      </c>
      <c r="G239" s="6">
        <v>1499</v>
      </c>
      <c r="H239" s="6"/>
      <c r="I239" s="6">
        <v>2998</v>
      </c>
      <c r="J239" s="6" t="str">
        <f>IF(I239&gt;formulas!$B$5,"yes","no")</f>
        <v>yes</v>
      </c>
      <c r="K239" s="6" t="str">
        <f t="shared" si="9"/>
        <v>no</v>
      </c>
      <c r="L239" s="6" t="str">
        <f>IF(COUNTIF('raw data'!$B$2:$B$501,B239)&gt;1,"Yes","No")</f>
        <v>Yes</v>
      </c>
      <c r="M239" t="str">
        <f t="shared" si="10"/>
        <v>no</v>
      </c>
      <c r="N239" t="str">
        <f t="shared" si="11"/>
        <v>Yes</v>
      </c>
      <c r="O239">
        <f>SUMIF('raw data'!B$2:B$501,B239,'raw data'!I$2:I$501)</f>
        <v>4272.1499999999996</v>
      </c>
      <c r="P239" t="str">
        <f>IF(OR(I239&lt;Visualization!$B$6,I239&gt;Visualization!$B$7),"Outlier","Normal")</f>
        <v>Outlier</v>
      </c>
    </row>
    <row r="240" spans="1:16" x14ac:dyDescent="0.35">
      <c r="A240" s="6" t="s">
        <v>247</v>
      </c>
      <c r="B240" s="15">
        <v>45275</v>
      </c>
      <c r="C240" s="6" t="s">
        <v>550</v>
      </c>
      <c r="D240" s="6" t="s">
        <v>609</v>
      </c>
      <c r="E240" s="6" t="s">
        <v>678</v>
      </c>
      <c r="F240" s="6">
        <v>4</v>
      </c>
      <c r="G240" s="6"/>
      <c r="H240" s="6">
        <v>20</v>
      </c>
      <c r="I240" s="6"/>
      <c r="J240" s="6" t="str">
        <f>IF(I240&gt;formulas!$B$5,"yes","no")</f>
        <v>no</v>
      </c>
      <c r="K240" s="6" t="str">
        <f t="shared" si="9"/>
        <v>yes</v>
      </c>
      <c r="L240" s="6" t="str">
        <f>IF(COUNTIF('raw data'!$B$2:$B$501,B240)&gt;1,"Yes","No")</f>
        <v>Yes</v>
      </c>
      <c r="M240" t="str">
        <f t="shared" si="10"/>
        <v>yes</v>
      </c>
      <c r="N240" t="str">
        <f t="shared" si="11"/>
        <v>No</v>
      </c>
      <c r="O240">
        <f>SUMIF('raw data'!B$2:B$501,B240,'raw data'!I$2:I$501)</f>
        <v>7282.8</v>
      </c>
      <c r="P240" t="str">
        <f>IF(OR(I240&lt;Visualization!$B$6,I240&gt;Visualization!$B$7),"Outlier","Normal")</f>
        <v>Normal</v>
      </c>
    </row>
    <row r="241" spans="1:16" x14ac:dyDescent="0.35">
      <c r="A241" s="6" t="s">
        <v>248</v>
      </c>
      <c r="B241" s="15">
        <v>45185</v>
      </c>
      <c r="C241" s="6" t="s">
        <v>570</v>
      </c>
      <c r="D241" s="6" t="s">
        <v>612</v>
      </c>
      <c r="E241" s="6" t="s">
        <v>614</v>
      </c>
      <c r="F241" s="6">
        <v>0</v>
      </c>
      <c r="G241" s="6">
        <v>999</v>
      </c>
      <c r="H241" s="6">
        <v>0</v>
      </c>
      <c r="I241" s="6">
        <v>0</v>
      </c>
      <c r="J241" s="6" t="str">
        <f>IF(I241&gt;formulas!$B$5,"yes","no")</f>
        <v>no</v>
      </c>
      <c r="K241" s="6" t="str">
        <f t="shared" si="9"/>
        <v>no</v>
      </c>
      <c r="L241" s="6" t="str">
        <f>IF(COUNTIF('raw data'!$B$2:$B$501,B241)&gt;1,"Yes","No")</f>
        <v>Yes</v>
      </c>
      <c r="M241" t="str">
        <f t="shared" si="10"/>
        <v>no</v>
      </c>
      <c r="N241" t="str">
        <f t="shared" si="11"/>
        <v>No</v>
      </c>
      <c r="O241">
        <f>SUMIF('raw data'!B$2:B$501,B241,'raw data'!I$2:I$501)</f>
        <v>0</v>
      </c>
      <c r="P241" t="str">
        <f>IF(OR(I241&lt;Visualization!$B$6,I241&gt;Visualization!$B$7),"Outlier","Normal")</f>
        <v>Normal</v>
      </c>
    </row>
    <row r="242" spans="1:16" x14ac:dyDescent="0.35">
      <c r="A242" s="6" t="s">
        <v>249</v>
      </c>
      <c r="B242" s="15">
        <v>45074</v>
      </c>
      <c r="C242" s="6" t="s">
        <v>596</v>
      </c>
      <c r="D242" s="6" t="s">
        <v>610</v>
      </c>
      <c r="E242" s="6" t="s">
        <v>702</v>
      </c>
      <c r="F242" s="6">
        <v>2</v>
      </c>
      <c r="G242" s="6">
        <v>199</v>
      </c>
      <c r="H242" s="6">
        <v>15</v>
      </c>
      <c r="I242" s="6">
        <v>338.3</v>
      </c>
      <c r="J242" s="6" t="str">
        <f>IF(I242&gt;formulas!$B$5,"yes","no")</f>
        <v>no</v>
      </c>
      <c r="K242" s="6" t="str">
        <f t="shared" si="9"/>
        <v>yes</v>
      </c>
      <c r="L242" s="6" t="str">
        <f>IF(COUNTIF('raw data'!$B$2:$B$501,B242)&gt;1,"Yes","No")</f>
        <v>Yes</v>
      </c>
      <c r="M242" t="str">
        <f t="shared" si="10"/>
        <v>no</v>
      </c>
      <c r="N242" t="str">
        <f t="shared" si="11"/>
        <v>No</v>
      </c>
      <c r="O242">
        <f>SUMIF('raw data'!B$2:B$501,B242,'raw data'!I$2:I$501)</f>
        <v>592.45000000000005</v>
      </c>
      <c r="P242" t="str">
        <f>IF(OR(I242&lt;Visualization!$B$6,I242&gt;Visualization!$B$7),"Outlier","Normal")</f>
        <v>Outlier</v>
      </c>
    </row>
    <row r="243" spans="1:16" x14ac:dyDescent="0.35">
      <c r="A243" s="6" t="s">
        <v>250</v>
      </c>
      <c r="B243" s="15">
        <v>45178</v>
      </c>
      <c r="C243" s="6" t="s">
        <v>571</v>
      </c>
      <c r="D243" s="6" t="s">
        <v>611</v>
      </c>
      <c r="E243" s="6" t="s">
        <v>641</v>
      </c>
      <c r="F243" s="6"/>
      <c r="G243" s="6">
        <v>999</v>
      </c>
      <c r="H243" s="6">
        <v>5</v>
      </c>
      <c r="I243" s="6"/>
      <c r="J243" s="6" t="str">
        <f>IF(I243&gt;formulas!$B$5,"yes","no")</f>
        <v>no</v>
      </c>
      <c r="K243" s="6" t="str">
        <f t="shared" si="9"/>
        <v>yes</v>
      </c>
      <c r="L243" s="6" t="str">
        <f>IF(COUNTIF('raw data'!$B$2:$B$501,B243)&gt;1,"Yes","No")</f>
        <v>Yes</v>
      </c>
      <c r="M243" t="str">
        <f t="shared" si="10"/>
        <v>no</v>
      </c>
      <c r="N243" t="str">
        <f t="shared" si="11"/>
        <v>No</v>
      </c>
      <c r="O243">
        <f>SUMIF('raw data'!B$2:B$501,B243,'raw data'!I$2:I$501)</f>
        <v>3694.7</v>
      </c>
      <c r="P243" t="str">
        <f>IF(OR(I243&lt;Visualization!$B$6,I243&gt;Visualization!$B$7),"Outlier","Normal")</f>
        <v>Normal</v>
      </c>
    </row>
    <row r="244" spans="1:16" x14ac:dyDescent="0.35">
      <c r="A244" s="6" t="s">
        <v>251</v>
      </c>
      <c r="B244" s="15">
        <v>45272</v>
      </c>
      <c r="C244" s="6" t="s">
        <v>581</v>
      </c>
      <c r="D244" s="6" t="s">
        <v>610</v>
      </c>
      <c r="E244" s="6" t="s">
        <v>677</v>
      </c>
      <c r="F244" s="6">
        <v>2</v>
      </c>
      <c r="G244" s="6">
        <v>199</v>
      </c>
      <c r="H244" s="6">
        <v>5</v>
      </c>
      <c r="I244" s="6">
        <v>378.1</v>
      </c>
      <c r="J244" s="6" t="str">
        <f>IF(I244&gt;formulas!$B$5,"yes","no")</f>
        <v>no</v>
      </c>
      <c r="K244" s="6" t="str">
        <f t="shared" si="9"/>
        <v>yes</v>
      </c>
      <c r="L244" s="6" t="str">
        <f>IF(COUNTIF('raw data'!$B$2:$B$501,B244)&gt;1,"Yes","No")</f>
        <v>Yes</v>
      </c>
      <c r="M244" t="str">
        <f t="shared" si="10"/>
        <v>no</v>
      </c>
      <c r="N244" t="str">
        <f t="shared" si="11"/>
        <v>No</v>
      </c>
      <c r="O244">
        <f>SUMIF('raw data'!B$2:B$501,B244,'raw data'!I$2:I$501)</f>
        <v>3653.7</v>
      </c>
      <c r="P244" t="str">
        <f>IF(OR(I244&lt;Visualization!$B$6,I244&gt;Visualization!$B$7),"Outlier","Normal")</f>
        <v>Outlier</v>
      </c>
    </row>
    <row r="245" spans="1:16" x14ac:dyDescent="0.35">
      <c r="A245" s="6" t="s">
        <v>252</v>
      </c>
      <c r="B245" s="15">
        <v>45073</v>
      </c>
      <c r="C245" s="6" t="s">
        <v>545</v>
      </c>
      <c r="D245" s="6" t="s">
        <v>612</v>
      </c>
      <c r="E245" s="6" t="s">
        <v>637</v>
      </c>
      <c r="F245" s="6">
        <v>2</v>
      </c>
      <c r="G245" s="6">
        <v>999</v>
      </c>
      <c r="H245" s="6">
        <v>5</v>
      </c>
      <c r="I245" s="6">
        <v>1898.1</v>
      </c>
      <c r="J245" s="6" t="str">
        <f>IF(I245&gt;formulas!$B$5,"yes","no")</f>
        <v>yes</v>
      </c>
      <c r="K245" s="6" t="str">
        <f t="shared" si="9"/>
        <v>yes</v>
      </c>
      <c r="L245" s="6" t="str">
        <f>IF(COUNTIF('raw data'!$B$2:$B$501,B245)&gt;1,"Yes","No")</f>
        <v>Yes</v>
      </c>
      <c r="M245" t="str">
        <f t="shared" si="10"/>
        <v>no</v>
      </c>
      <c r="N245" t="str">
        <f t="shared" si="11"/>
        <v>Yes</v>
      </c>
      <c r="O245">
        <f>SUMIF('raw data'!B$2:B$501,B245,'raw data'!I$2:I$501)</f>
        <v>12043.649999999998</v>
      </c>
      <c r="P245" t="str">
        <f>IF(OR(I245&lt;Visualization!$B$6,I245&gt;Visualization!$B$7),"Outlier","Normal")</f>
        <v>Outlier</v>
      </c>
    </row>
    <row r="246" spans="1:16" x14ac:dyDescent="0.35">
      <c r="A246" s="6" t="s">
        <v>253</v>
      </c>
      <c r="B246" s="15">
        <v>45074</v>
      </c>
      <c r="C246" s="6" t="s">
        <v>594</v>
      </c>
      <c r="D246" s="6" t="s">
        <v>613</v>
      </c>
      <c r="E246" s="6" t="s">
        <v>670</v>
      </c>
      <c r="F246" s="6">
        <v>1</v>
      </c>
      <c r="G246" s="6">
        <v>299</v>
      </c>
      <c r="H246" s="6">
        <v>15</v>
      </c>
      <c r="I246" s="6">
        <v>254.15</v>
      </c>
      <c r="J246" s="6" t="str">
        <f>IF(I246&gt;formulas!$B$5,"yes","no")</f>
        <v>no</v>
      </c>
      <c r="K246" s="6" t="str">
        <f t="shared" si="9"/>
        <v>yes</v>
      </c>
      <c r="L246" s="6" t="str">
        <f>IF(COUNTIF('raw data'!$B$2:$B$501,B246)&gt;1,"Yes","No")</f>
        <v>Yes</v>
      </c>
      <c r="M246" t="str">
        <f t="shared" si="10"/>
        <v>no</v>
      </c>
      <c r="N246" t="str">
        <f t="shared" si="11"/>
        <v>No</v>
      </c>
      <c r="O246">
        <f>SUMIF('raw data'!B$2:B$501,B246,'raw data'!I$2:I$501)</f>
        <v>592.45000000000005</v>
      </c>
      <c r="P246" t="str">
        <f>IF(OR(I246&lt;Visualization!$B$6,I246&gt;Visualization!$B$7),"Outlier","Normal")</f>
        <v>Outlier</v>
      </c>
    </row>
    <row r="247" spans="1:16" x14ac:dyDescent="0.35">
      <c r="A247" s="6" t="s">
        <v>254</v>
      </c>
      <c r="B247" s="15">
        <v>45278</v>
      </c>
      <c r="C247" s="6" t="s">
        <v>556</v>
      </c>
      <c r="D247" s="6" t="s">
        <v>611</v>
      </c>
      <c r="E247" s="6" t="s">
        <v>640</v>
      </c>
      <c r="F247" s="6"/>
      <c r="G247" s="6">
        <v>1999</v>
      </c>
      <c r="H247" s="6"/>
      <c r="I247" s="6"/>
      <c r="J247" s="6" t="str">
        <f>IF(I247&gt;formulas!$B$5,"yes","no")</f>
        <v>no</v>
      </c>
      <c r="K247" s="6" t="str">
        <f t="shared" si="9"/>
        <v>no</v>
      </c>
      <c r="L247" s="6" t="str">
        <f>IF(COUNTIF('raw data'!$B$2:$B$501,B247)&gt;1,"Yes","No")</f>
        <v>Yes</v>
      </c>
      <c r="M247" t="str">
        <f t="shared" si="10"/>
        <v>no</v>
      </c>
      <c r="N247" t="str">
        <f t="shared" si="11"/>
        <v>No</v>
      </c>
      <c r="O247">
        <f>SUMIF('raw data'!B$2:B$501,B247,'raw data'!I$2:I$501)</f>
        <v>799.2</v>
      </c>
      <c r="P247" t="str">
        <f>IF(OR(I247&lt;Visualization!$B$6,I247&gt;Visualization!$B$7),"Outlier","Normal")</f>
        <v>Normal</v>
      </c>
    </row>
    <row r="248" spans="1:16" x14ac:dyDescent="0.35">
      <c r="A248" s="6" t="s">
        <v>255</v>
      </c>
      <c r="B248" s="15">
        <v>45125</v>
      </c>
      <c r="C248" s="6" t="s">
        <v>578</v>
      </c>
      <c r="D248" s="6" t="s">
        <v>611</v>
      </c>
      <c r="E248" s="6" t="s">
        <v>704</v>
      </c>
      <c r="F248" s="6">
        <v>0</v>
      </c>
      <c r="G248" s="6">
        <v>199</v>
      </c>
      <c r="H248" s="6">
        <v>0</v>
      </c>
      <c r="I248" s="6">
        <v>0</v>
      </c>
      <c r="J248" s="6" t="str">
        <f>IF(I248&gt;formulas!$B$5,"yes","no")</f>
        <v>no</v>
      </c>
      <c r="K248" s="6" t="str">
        <f t="shared" si="9"/>
        <v>no</v>
      </c>
      <c r="L248" s="6" t="str">
        <f>IF(COUNTIF('raw data'!$B$2:$B$501,B248)&gt;1,"Yes","No")</f>
        <v>No</v>
      </c>
      <c r="M248" t="str">
        <f t="shared" si="10"/>
        <v>no</v>
      </c>
      <c r="N248" t="str">
        <f t="shared" si="11"/>
        <v>No</v>
      </c>
      <c r="O248">
        <f>SUMIF('raw data'!B$2:B$501,B248,'raw data'!I$2:I$501)</f>
        <v>0</v>
      </c>
      <c r="P248" t="str">
        <f>IF(OR(I248&lt;Visualization!$B$6,I248&gt;Visualization!$B$7),"Outlier","Normal")</f>
        <v>Normal</v>
      </c>
    </row>
    <row r="249" spans="1:16" x14ac:dyDescent="0.35">
      <c r="A249" s="6" t="s">
        <v>256</v>
      </c>
      <c r="B249" s="15">
        <v>45234</v>
      </c>
      <c r="C249" s="6" t="s">
        <v>518</v>
      </c>
      <c r="D249" s="6" t="s">
        <v>609</v>
      </c>
      <c r="E249" s="6" t="s">
        <v>674</v>
      </c>
      <c r="F249" s="6">
        <v>3</v>
      </c>
      <c r="G249" s="6">
        <v>999</v>
      </c>
      <c r="H249" s="6">
        <v>15</v>
      </c>
      <c r="I249" s="6">
        <v>2547.4499999999998</v>
      </c>
      <c r="J249" s="6" t="str">
        <f>IF(I249&gt;formulas!$B$5,"yes","no")</f>
        <v>yes</v>
      </c>
      <c r="K249" s="6" t="str">
        <f t="shared" si="9"/>
        <v>yes</v>
      </c>
      <c r="L249" s="6" t="str">
        <f>IF(COUNTIF('raw data'!$B$2:$B$501,B249)&gt;1,"Yes","No")</f>
        <v>Yes</v>
      </c>
      <c r="M249" t="str">
        <f t="shared" si="10"/>
        <v>no</v>
      </c>
      <c r="N249" t="str">
        <f t="shared" si="11"/>
        <v>Yes</v>
      </c>
      <c r="O249">
        <f>SUMIF('raw data'!B$2:B$501,B249,'raw data'!I$2:I$501)</f>
        <v>4443.6499999999996</v>
      </c>
      <c r="P249" t="str">
        <f>IF(OR(I249&lt;Visualization!$B$6,I249&gt;Visualization!$B$7),"Outlier","Normal")</f>
        <v>Outlier</v>
      </c>
    </row>
    <row r="250" spans="1:16" x14ac:dyDescent="0.35">
      <c r="A250" s="6" t="s">
        <v>257</v>
      </c>
      <c r="B250" s="15">
        <v>45054</v>
      </c>
      <c r="C250" s="6" t="s">
        <v>523</v>
      </c>
      <c r="D250" s="6" t="s">
        <v>609</v>
      </c>
      <c r="E250" s="6" t="s">
        <v>665</v>
      </c>
      <c r="F250" s="6">
        <v>4</v>
      </c>
      <c r="G250" s="6"/>
      <c r="H250" s="6">
        <v>5</v>
      </c>
      <c r="I250" s="6"/>
      <c r="J250" s="6" t="str">
        <f>IF(I250&gt;formulas!$B$5,"yes","no")</f>
        <v>no</v>
      </c>
      <c r="K250" s="6" t="str">
        <f t="shared" si="9"/>
        <v>yes</v>
      </c>
      <c r="L250" s="6" t="str">
        <f>IF(COUNTIF('raw data'!$B$2:$B$501,B250)&gt;1,"Yes","No")</f>
        <v>Yes</v>
      </c>
      <c r="M250" t="str">
        <f t="shared" si="10"/>
        <v>no</v>
      </c>
      <c r="N250" t="str">
        <f t="shared" si="11"/>
        <v>No</v>
      </c>
      <c r="O250">
        <f>SUMIF('raw data'!B$2:B$501,B250,'raw data'!I$2:I$501)</f>
        <v>1897</v>
      </c>
      <c r="P250" t="str">
        <f>IF(OR(I250&lt;Visualization!$B$6,I250&gt;Visualization!$B$7),"Outlier","Normal")</f>
        <v>Normal</v>
      </c>
    </row>
    <row r="251" spans="1:16" x14ac:dyDescent="0.35">
      <c r="A251" s="6" t="s">
        <v>258</v>
      </c>
      <c r="B251" s="15">
        <v>44965</v>
      </c>
      <c r="C251" s="6" t="s">
        <v>579</v>
      </c>
      <c r="D251" s="6" t="s">
        <v>613</v>
      </c>
      <c r="E251" s="6" t="s">
        <v>701</v>
      </c>
      <c r="F251" s="6">
        <v>1</v>
      </c>
      <c r="G251" s="6">
        <v>299</v>
      </c>
      <c r="H251" s="6">
        <v>20</v>
      </c>
      <c r="I251" s="6">
        <v>239.2</v>
      </c>
      <c r="J251" s="6" t="str">
        <f>IF(I251&gt;formulas!$B$5,"yes","no")</f>
        <v>no</v>
      </c>
      <c r="K251" s="6" t="str">
        <f t="shared" si="9"/>
        <v>yes</v>
      </c>
      <c r="L251" s="6" t="str">
        <f>IF(COUNTIF('raw data'!$B$2:$B$501,B251)&gt;1,"Yes","No")</f>
        <v>Yes</v>
      </c>
      <c r="M251" t="str">
        <f t="shared" si="10"/>
        <v>yes</v>
      </c>
      <c r="N251" t="str">
        <f t="shared" si="11"/>
        <v>No</v>
      </c>
      <c r="O251">
        <f>SUMIF('raw data'!B$2:B$501,B251,'raw data'!I$2:I$501)</f>
        <v>1737.2</v>
      </c>
      <c r="P251" t="str">
        <f>IF(OR(I251&lt;Visualization!$B$6,I251&gt;Visualization!$B$7),"Outlier","Normal")</f>
        <v>Outlier</v>
      </c>
    </row>
    <row r="252" spans="1:16" x14ac:dyDescent="0.35">
      <c r="A252" s="6" t="s">
        <v>259</v>
      </c>
      <c r="B252" s="15">
        <v>45264</v>
      </c>
      <c r="C252" s="6" t="s">
        <v>551</v>
      </c>
      <c r="D252" s="6" t="s">
        <v>611</v>
      </c>
      <c r="E252" s="6" t="s">
        <v>705</v>
      </c>
      <c r="F252" s="6">
        <v>3</v>
      </c>
      <c r="G252" s="6">
        <v>299</v>
      </c>
      <c r="H252" s="6">
        <v>10</v>
      </c>
      <c r="I252" s="6">
        <v>807.30000000000007</v>
      </c>
      <c r="J252" s="6" t="str">
        <f>IF(I252&gt;formulas!$B$5,"yes","no")</f>
        <v>no</v>
      </c>
      <c r="K252" s="6" t="str">
        <f t="shared" si="9"/>
        <v>yes</v>
      </c>
      <c r="L252" s="6" t="str">
        <f>IF(COUNTIF('raw data'!$B$2:$B$501,B252)&gt;1,"Yes","No")</f>
        <v>Yes</v>
      </c>
      <c r="M252" t="str">
        <f t="shared" si="10"/>
        <v>no</v>
      </c>
      <c r="N252" t="str">
        <f t="shared" si="11"/>
        <v>No</v>
      </c>
      <c r="O252">
        <f>SUMIF('raw data'!B$2:B$501,B252,'raw data'!I$2:I$501)</f>
        <v>3805.3</v>
      </c>
      <c r="P252" t="str">
        <f>IF(OR(I252&lt;Visualization!$B$6,I252&gt;Visualization!$B$7),"Outlier","Normal")</f>
        <v>Outlier</v>
      </c>
    </row>
    <row r="253" spans="1:16" x14ac:dyDescent="0.35">
      <c r="A253" s="6" t="s">
        <v>260</v>
      </c>
      <c r="B253" s="15">
        <v>45286</v>
      </c>
      <c r="C253" s="6" t="s">
        <v>549</v>
      </c>
      <c r="D253" s="6" t="s">
        <v>613</v>
      </c>
      <c r="E253" s="6" t="s">
        <v>616</v>
      </c>
      <c r="F253" s="6">
        <v>1</v>
      </c>
      <c r="G253" s="6"/>
      <c r="H253" s="6">
        <v>15</v>
      </c>
      <c r="I253" s="6"/>
      <c r="J253" s="6" t="str">
        <f>IF(I253&gt;formulas!$B$5,"yes","no")</f>
        <v>no</v>
      </c>
      <c r="K253" s="6" t="str">
        <f t="shared" si="9"/>
        <v>yes</v>
      </c>
      <c r="L253" s="6" t="str">
        <f>IF(COUNTIF('raw data'!$B$2:$B$501,B253)&gt;1,"Yes","No")</f>
        <v>Yes</v>
      </c>
      <c r="M253" t="str">
        <f t="shared" si="10"/>
        <v>no</v>
      </c>
      <c r="N253" t="str">
        <f t="shared" si="11"/>
        <v>No</v>
      </c>
      <c r="O253">
        <f>SUMIF('raw data'!B$2:B$501,B253,'raw data'!I$2:I$501)</f>
        <v>11794.1</v>
      </c>
      <c r="P253" t="str">
        <f>IF(OR(I253&lt;Visualization!$B$6,I253&gt;Visualization!$B$7),"Outlier","Normal")</f>
        <v>Normal</v>
      </c>
    </row>
    <row r="254" spans="1:16" x14ac:dyDescent="0.35">
      <c r="A254" s="6" t="s">
        <v>261</v>
      </c>
      <c r="B254" s="15">
        <v>45055</v>
      </c>
      <c r="C254" s="6" t="s">
        <v>601</v>
      </c>
      <c r="D254" s="6" t="s">
        <v>609</v>
      </c>
      <c r="E254" s="6" t="s">
        <v>648</v>
      </c>
      <c r="F254" s="6">
        <v>1</v>
      </c>
      <c r="G254" s="6">
        <v>999</v>
      </c>
      <c r="H254" s="6">
        <v>15</v>
      </c>
      <c r="I254" s="6">
        <v>849.15</v>
      </c>
      <c r="J254" s="6" t="str">
        <f>IF(I254&gt;formulas!$B$5,"yes","no")</f>
        <v>no</v>
      </c>
      <c r="K254" s="6" t="str">
        <f t="shared" si="9"/>
        <v>yes</v>
      </c>
      <c r="L254" s="6" t="str">
        <f>IF(COUNTIF('raw data'!$B$2:$B$501,B254)&gt;1,"Yes","No")</f>
        <v>Yes</v>
      </c>
      <c r="M254" t="str">
        <f t="shared" si="10"/>
        <v>no</v>
      </c>
      <c r="N254" t="str">
        <f t="shared" si="11"/>
        <v>No</v>
      </c>
      <c r="O254">
        <f>SUMIF('raw data'!B$2:B$501,B254,'raw data'!I$2:I$501)</f>
        <v>5564.75</v>
      </c>
      <c r="P254" t="str">
        <f>IF(OR(I254&lt;Visualization!$B$6,I254&gt;Visualization!$B$7),"Outlier","Normal")</f>
        <v>Outlier</v>
      </c>
    </row>
    <row r="255" spans="1:16" x14ac:dyDescent="0.35">
      <c r="A255" s="6" t="s">
        <v>262</v>
      </c>
      <c r="B255" s="15">
        <v>45193</v>
      </c>
      <c r="C255" s="6" t="s">
        <v>572</v>
      </c>
      <c r="D255" s="6" t="s">
        <v>609</v>
      </c>
      <c r="E255" s="6" t="s">
        <v>692</v>
      </c>
      <c r="F255" s="6">
        <v>4</v>
      </c>
      <c r="G255" s="6">
        <v>499</v>
      </c>
      <c r="H255" s="6">
        <v>0</v>
      </c>
      <c r="I255" s="6">
        <v>1996</v>
      </c>
      <c r="J255" s="6" t="str">
        <f>IF(I255&gt;formulas!$B$5,"yes","no")</f>
        <v>yes</v>
      </c>
      <c r="K255" s="6" t="str">
        <f t="shared" si="9"/>
        <v>no</v>
      </c>
      <c r="L255" s="6" t="str">
        <f>IF(COUNTIF('raw data'!$B$2:$B$501,B255)&gt;1,"Yes","No")</f>
        <v>No</v>
      </c>
      <c r="M255" t="str">
        <f t="shared" si="10"/>
        <v>no</v>
      </c>
      <c r="N255" t="str">
        <f t="shared" si="11"/>
        <v>No</v>
      </c>
      <c r="O255">
        <f>SUMIF('raw data'!B$2:B$501,B255,'raw data'!I$2:I$501)</f>
        <v>1996</v>
      </c>
      <c r="P255" t="str">
        <f>IF(OR(I255&lt;Visualization!$B$6,I255&gt;Visualization!$B$7),"Outlier","Normal")</f>
        <v>Outlier</v>
      </c>
    </row>
    <row r="256" spans="1:16" x14ac:dyDescent="0.35">
      <c r="A256" s="6" t="s">
        <v>263</v>
      </c>
      <c r="B256" s="15">
        <v>45077</v>
      </c>
      <c r="C256" s="6" t="s">
        <v>536</v>
      </c>
      <c r="D256" s="6" t="s">
        <v>611</v>
      </c>
      <c r="E256" s="6" t="s">
        <v>628</v>
      </c>
      <c r="F256" s="6">
        <v>4</v>
      </c>
      <c r="G256" s="6"/>
      <c r="H256" s="6">
        <v>0</v>
      </c>
      <c r="I256" s="6"/>
      <c r="J256" s="6" t="str">
        <f>IF(I256&gt;formulas!$B$5,"yes","no")</f>
        <v>no</v>
      </c>
      <c r="K256" s="6" t="str">
        <f t="shared" si="9"/>
        <v>no</v>
      </c>
      <c r="L256" s="6" t="str">
        <f>IF(COUNTIF('raw data'!$B$2:$B$501,B256)&gt;1,"Yes","No")</f>
        <v>Yes</v>
      </c>
      <c r="M256" t="str">
        <f t="shared" si="10"/>
        <v>no</v>
      </c>
      <c r="N256" t="str">
        <f t="shared" si="11"/>
        <v>No</v>
      </c>
      <c r="O256">
        <f>SUMIF('raw data'!B$2:B$501,B256,'raw data'!I$2:I$501)</f>
        <v>1999</v>
      </c>
      <c r="P256" t="str">
        <f>IF(OR(I256&lt;Visualization!$B$6,I256&gt;Visualization!$B$7),"Outlier","Normal")</f>
        <v>Normal</v>
      </c>
    </row>
    <row r="257" spans="1:16" x14ac:dyDescent="0.35">
      <c r="A257" s="6" t="s">
        <v>264</v>
      </c>
      <c r="B257" s="15">
        <v>45224</v>
      </c>
      <c r="C257" s="6" t="s">
        <v>593</v>
      </c>
      <c r="D257" s="6" t="s">
        <v>610</v>
      </c>
      <c r="E257" s="6" t="s">
        <v>706</v>
      </c>
      <c r="F257" s="6">
        <v>3</v>
      </c>
      <c r="G257" s="6">
        <v>999</v>
      </c>
      <c r="H257" s="6">
        <v>15</v>
      </c>
      <c r="I257" s="6">
        <v>2547.4499999999998</v>
      </c>
      <c r="J257" s="6" t="str">
        <f>IF(I257&gt;formulas!$B$5,"yes","no")</f>
        <v>yes</v>
      </c>
      <c r="K257" s="6" t="str">
        <f t="shared" si="9"/>
        <v>yes</v>
      </c>
      <c r="L257" s="6" t="str">
        <f>IF(COUNTIF('raw data'!$B$2:$B$501,B257)&gt;1,"Yes","No")</f>
        <v>No</v>
      </c>
      <c r="M257" t="str">
        <f t="shared" si="10"/>
        <v>no</v>
      </c>
      <c r="N257" t="str">
        <f t="shared" si="11"/>
        <v>No</v>
      </c>
      <c r="O257">
        <f>SUMIF('raw data'!B$2:B$501,B257,'raw data'!I$2:I$501)</f>
        <v>2547.4499999999998</v>
      </c>
      <c r="P257" t="str">
        <f>IF(OR(I257&lt;Visualization!$B$6,I257&gt;Visualization!$B$7),"Outlier","Normal")</f>
        <v>Outlier</v>
      </c>
    </row>
    <row r="258" spans="1:16" x14ac:dyDescent="0.35">
      <c r="A258" s="6" t="s">
        <v>265</v>
      </c>
      <c r="B258" s="15">
        <v>45025</v>
      </c>
      <c r="C258" s="6" t="s">
        <v>543</v>
      </c>
      <c r="D258" s="6" t="s">
        <v>612</v>
      </c>
      <c r="E258" s="6" t="s">
        <v>689</v>
      </c>
      <c r="F258" s="6">
        <v>2</v>
      </c>
      <c r="G258" s="6"/>
      <c r="H258" s="6">
        <v>5</v>
      </c>
      <c r="I258" s="6"/>
      <c r="J258" s="6" t="str">
        <f>IF(I258&gt;formulas!$B$5,"yes","no")</f>
        <v>no</v>
      </c>
      <c r="K258" s="6" t="str">
        <f t="shared" si="9"/>
        <v>yes</v>
      </c>
      <c r="L258" s="6" t="str">
        <f>IF(COUNTIF('raw data'!$B$2:$B$501,B258)&gt;1,"Yes","No")</f>
        <v>Yes</v>
      </c>
      <c r="M258" t="str">
        <f t="shared" si="10"/>
        <v>no</v>
      </c>
      <c r="N258" t="str">
        <f t="shared" si="11"/>
        <v>No</v>
      </c>
      <c r="O258">
        <f>SUMIF('raw data'!B$2:B$501,B258,'raw data'!I$2:I$501)</f>
        <v>14336.099999999999</v>
      </c>
      <c r="P258" t="str">
        <f>IF(OR(I258&lt;Visualization!$B$6,I258&gt;Visualization!$B$7),"Outlier","Normal")</f>
        <v>Normal</v>
      </c>
    </row>
    <row r="259" spans="1:16" x14ac:dyDescent="0.35">
      <c r="A259" s="6" t="s">
        <v>266</v>
      </c>
      <c r="B259" s="15">
        <v>45189</v>
      </c>
      <c r="C259" s="6" t="s">
        <v>558</v>
      </c>
      <c r="D259" s="6" t="s">
        <v>609</v>
      </c>
      <c r="E259" s="6" t="s">
        <v>667</v>
      </c>
      <c r="F259" s="6">
        <v>1</v>
      </c>
      <c r="G259" s="6"/>
      <c r="H259" s="6">
        <v>10</v>
      </c>
      <c r="I259" s="6"/>
      <c r="J259" s="6" t="str">
        <f>IF(I259&gt;formulas!$B$5,"yes","no")</f>
        <v>no</v>
      </c>
      <c r="K259" s="6" t="str">
        <f t="shared" ref="K259:K322" si="12">IF(H259&gt;0,"yes","no")</f>
        <v>yes</v>
      </c>
      <c r="L259" s="6" t="str">
        <f>IF(COUNTIF('raw data'!$B$2:$B$501,B259)&gt;1,"Yes","No")</f>
        <v>No</v>
      </c>
      <c r="M259" t="str">
        <f t="shared" ref="M259:M322" si="13">IF(H259&gt;15,"yes","no")</f>
        <v>no</v>
      </c>
      <c r="N259" t="str">
        <f t="shared" ref="N259:N322" si="14">IF(AND(L259="Yes", J259="yes" ),"Yes","No")</f>
        <v>No</v>
      </c>
      <c r="O259">
        <f>SUMIF('raw data'!B$2:B$501,B259,'raw data'!I$2:I$501)</f>
        <v>0</v>
      </c>
      <c r="P259" t="str">
        <f>IF(OR(I259&lt;Visualization!$B$6,I259&gt;Visualization!$B$7),"Outlier","Normal")</f>
        <v>Normal</v>
      </c>
    </row>
    <row r="260" spans="1:16" x14ac:dyDescent="0.35">
      <c r="A260" s="6" t="s">
        <v>267</v>
      </c>
      <c r="B260" s="15">
        <v>45178</v>
      </c>
      <c r="C260" s="6" t="s">
        <v>559</v>
      </c>
      <c r="D260" s="6" t="s">
        <v>609</v>
      </c>
      <c r="E260" s="6" t="s">
        <v>701</v>
      </c>
      <c r="F260" s="6">
        <v>1</v>
      </c>
      <c r="G260" s="6">
        <v>199</v>
      </c>
      <c r="H260" s="6">
        <v>0</v>
      </c>
      <c r="I260" s="6">
        <v>199</v>
      </c>
      <c r="J260" s="6" t="str">
        <f>IF(I260&gt;formulas!$B$5,"yes","no")</f>
        <v>no</v>
      </c>
      <c r="K260" s="6" t="str">
        <f t="shared" si="12"/>
        <v>no</v>
      </c>
      <c r="L260" s="6" t="str">
        <f>IF(COUNTIF('raw data'!$B$2:$B$501,B260)&gt;1,"Yes","No")</f>
        <v>Yes</v>
      </c>
      <c r="M260" t="str">
        <f t="shared" si="13"/>
        <v>no</v>
      </c>
      <c r="N260" t="str">
        <f t="shared" si="14"/>
        <v>No</v>
      </c>
      <c r="O260">
        <f>SUMIF('raw data'!B$2:B$501,B260,'raw data'!I$2:I$501)</f>
        <v>3694.7</v>
      </c>
      <c r="P260" t="str">
        <f>IF(OR(I260&lt;Visualization!$B$6,I260&gt;Visualization!$B$7),"Outlier","Normal")</f>
        <v>Outlier</v>
      </c>
    </row>
    <row r="261" spans="1:16" x14ac:dyDescent="0.35">
      <c r="A261" s="6" t="s">
        <v>268</v>
      </c>
      <c r="B261" s="15">
        <v>45070</v>
      </c>
      <c r="C261" s="6" t="s">
        <v>580</v>
      </c>
      <c r="D261" s="6" t="s">
        <v>610</v>
      </c>
      <c r="E261" s="6" t="s">
        <v>678</v>
      </c>
      <c r="F261" s="6">
        <v>1</v>
      </c>
      <c r="G261" s="6">
        <v>999</v>
      </c>
      <c r="H261" s="6">
        <v>5</v>
      </c>
      <c r="I261" s="6">
        <v>949.05</v>
      </c>
      <c r="J261" s="6" t="str">
        <f>IF(I261&gt;formulas!$B$5,"yes","no")</f>
        <v>no</v>
      </c>
      <c r="K261" s="6" t="str">
        <f t="shared" si="12"/>
        <v>yes</v>
      </c>
      <c r="L261" s="6" t="str">
        <f>IF(COUNTIF('raw data'!$B$2:$B$501,B261)&gt;1,"Yes","No")</f>
        <v>Yes</v>
      </c>
      <c r="M261" t="str">
        <f t="shared" si="13"/>
        <v>no</v>
      </c>
      <c r="N261" t="str">
        <f t="shared" si="14"/>
        <v>No</v>
      </c>
      <c r="O261">
        <f>SUMIF('raw data'!B$2:B$501,B261,'raw data'!I$2:I$501)</f>
        <v>3092.35</v>
      </c>
      <c r="P261" t="str">
        <f>IF(OR(I261&lt;Visualization!$B$6,I261&gt;Visualization!$B$7),"Outlier","Normal")</f>
        <v>Outlier</v>
      </c>
    </row>
    <row r="262" spans="1:16" x14ac:dyDescent="0.35">
      <c r="A262" s="6" t="s">
        <v>269</v>
      </c>
      <c r="B262" s="15">
        <v>45272</v>
      </c>
      <c r="C262" s="6" t="s">
        <v>549</v>
      </c>
      <c r="D262" s="6" t="s">
        <v>610</v>
      </c>
      <c r="E262" s="6" t="s">
        <v>681</v>
      </c>
      <c r="F262" s="6">
        <v>1</v>
      </c>
      <c r="G262" s="6">
        <v>499</v>
      </c>
      <c r="H262" s="6">
        <v>20</v>
      </c>
      <c r="I262" s="6">
        <v>399.2</v>
      </c>
      <c r="J262" s="6" t="str">
        <f>IF(I262&gt;formulas!$B$5,"yes","no")</f>
        <v>no</v>
      </c>
      <c r="K262" s="6" t="str">
        <f t="shared" si="12"/>
        <v>yes</v>
      </c>
      <c r="L262" s="6" t="str">
        <f>IF(COUNTIF('raw data'!$B$2:$B$501,B262)&gt;1,"Yes","No")</f>
        <v>Yes</v>
      </c>
      <c r="M262" t="str">
        <f t="shared" si="13"/>
        <v>yes</v>
      </c>
      <c r="N262" t="str">
        <f t="shared" si="14"/>
        <v>No</v>
      </c>
      <c r="O262">
        <f>SUMIF('raw data'!B$2:B$501,B262,'raw data'!I$2:I$501)</f>
        <v>3653.7</v>
      </c>
      <c r="P262" t="str">
        <f>IF(OR(I262&lt;Visualization!$B$6,I262&gt;Visualization!$B$7),"Outlier","Normal")</f>
        <v>Outlier</v>
      </c>
    </row>
    <row r="263" spans="1:16" x14ac:dyDescent="0.35">
      <c r="A263" s="6" t="s">
        <v>270</v>
      </c>
      <c r="B263" s="15">
        <v>45038</v>
      </c>
      <c r="C263" s="6" t="s">
        <v>592</v>
      </c>
      <c r="D263" s="6" t="s">
        <v>613</v>
      </c>
      <c r="E263" s="6" t="s">
        <v>632</v>
      </c>
      <c r="F263" s="6">
        <v>2</v>
      </c>
      <c r="G263" s="6">
        <v>1999</v>
      </c>
      <c r="H263" s="6">
        <v>0</v>
      </c>
      <c r="I263" s="6">
        <v>3998</v>
      </c>
      <c r="J263" s="6" t="str">
        <f>IF(I263&gt;formulas!$B$5,"yes","no")</f>
        <v>yes</v>
      </c>
      <c r="K263" s="6" t="str">
        <f t="shared" si="12"/>
        <v>no</v>
      </c>
      <c r="L263" s="6" t="str">
        <f>IF(COUNTIF('raw data'!$B$2:$B$501,B263)&gt;1,"Yes","No")</f>
        <v>Yes</v>
      </c>
      <c r="M263" t="str">
        <f t="shared" si="13"/>
        <v>no</v>
      </c>
      <c r="N263" t="str">
        <f t="shared" si="14"/>
        <v>Yes</v>
      </c>
      <c r="O263">
        <f>SUMIF('raw data'!B$2:B$501,B263,'raw data'!I$2:I$501)</f>
        <v>4997</v>
      </c>
      <c r="P263" t="str">
        <f>IF(OR(I263&lt;Visualization!$B$6,I263&gt;Visualization!$B$7),"Outlier","Normal")</f>
        <v>Outlier</v>
      </c>
    </row>
    <row r="264" spans="1:16" x14ac:dyDescent="0.35">
      <c r="A264" s="6" t="s">
        <v>271</v>
      </c>
      <c r="B264" s="15">
        <v>44986</v>
      </c>
      <c r="C264" s="6" t="s">
        <v>518</v>
      </c>
      <c r="D264" s="6" t="s">
        <v>613</v>
      </c>
      <c r="E264" s="6" t="s">
        <v>668</v>
      </c>
      <c r="F264" s="6">
        <v>2</v>
      </c>
      <c r="G264" s="6">
        <v>199</v>
      </c>
      <c r="H264" s="6">
        <v>5</v>
      </c>
      <c r="I264" s="6">
        <v>378.1</v>
      </c>
      <c r="J264" s="6" t="str">
        <f>IF(I264&gt;formulas!$B$5,"yes","no")</f>
        <v>no</v>
      </c>
      <c r="K264" s="6" t="str">
        <f t="shared" si="12"/>
        <v>yes</v>
      </c>
      <c r="L264" s="6" t="str">
        <f>IF(COUNTIF('raw data'!$B$2:$B$501,B264)&gt;1,"Yes","No")</f>
        <v>Yes</v>
      </c>
      <c r="M264" t="str">
        <f t="shared" si="13"/>
        <v>no</v>
      </c>
      <c r="N264" t="str">
        <f t="shared" si="14"/>
        <v>No</v>
      </c>
      <c r="O264">
        <f>SUMIF('raw data'!B$2:B$501,B264,'raw data'!I$2:I$501)</f>
        <v>378.1</v>
      </c>
      <c r="P264" t="str">
        <f>IF(OR(I264&lt;Visualization!$B$6,I264&gt;Visualization!$B$7),"Outlier","Normal")</f>
        <v>Outlier</v>
      </c>
    </row>
    <row r="265" spans="1:16" x14ac:dyDescent="0.35">
      <c r="A265" s="6" t="s">
        <v>272</v>
      </c>
      <c r="B265" s="15">
        <v>44928</v>
      </c>
      <c r="C265" s="6" t="s">
        <v>602</v>
      </c>
      <c r="D265" s="6" t="s">
        <v>612</v>
      </c>
      <c r="E265" s="6" t="s">
        <v>622</v>
      </c>
      <c r="F265" s="6">
        <v>2</v>
      </c>
      <c r="G265" s="6"/>
      <c r="H265" s="6">
        <v>5</v>
      </c>
      <c r="I265" s="6"/>
      <c r="J265" s="6" t="str">
        <f>IF(I265&gt;formulas!$B$5,"yes","no")</f>
        <v>no</v>
      </c>
      <c r="K265" s="6" t="str">
        <f t="shared" si="12"/>
        <v>yes</v>
      </c>
      <c r="L265" s="6" t="str">
        <f>IF(COUNTIF('raw data'!$B$2:$B$501,B265)&gt;1,"Yes","No")</f>
        <v>Yes</v>
      </c>
      <c r="M265" t="str">
        <f t="shared" si="13"/>
        <v>no</v>
      </c>
      <c r="N265" t="str">
        <f t="shared" si="14"/>
        <v>No</v>
      </c>
      <c r="O265">
        <f>SUMIF('raw data'!B$2:B$501,B265,'raw data'!I$2:I$501)</f>
        <v>1699.15</v>
      </c>
      <c r="P265" t="str">
        <f>IF(OR(I265&lt;Visualization!$B$6,I265&gt;Visualization!$B$7),"Outlier","Normal")</f>
        <v>Normal</v>
      </c>
    </row>
    <row r="266" spans="1:16" x14ac:dyDescent="0.35">
      <c r="A266" s="6" t="s">
        <v>273</v>
      </c>
      <c r="B266" s="15">
        <v>45230</v>
      </c>
      <c r="C266" s="6" t="s">
        <v>548</v>
      </c>
      <c r="D266" s="6" t="s">
        <v>612</v>
      </c>
      <c r="E266" s="6" t="s">
        <v>654</v>
      </c>
      <c r="F266" s="6">
        <v>1</v>
      </c>
      <c r="G266" s="6">
        <v>1999</v>
      </c>
      <c r="H266" s="6">
        <v>10</v>
      </c>
      <c r="I266" s="6">
        <v>1799.1</v>
      </c>
      <c r="J266" s="6" t="str">
        <f>IF(I266&gt;formulas!$B$5,"yes","no")</f>
        <v>yes</v>
      </c>
      <c r="K266" s="6" t="str">
        <f t="shared" si="12"/>
        <v>yes</v>
      </c>
      <c r="L266" s="6" t="str">
        <f>IF(COUNTIF('raw data'!$B$2:$B$501,B266)&gt;1,"Yes","No")</f>
        <v>Yes</v>
      </c>
      <c r="M266" t="str">
        <f t="shared" si="13"/>
        <v>no</v>
      </c>
      <c r="N266" t="str">
        <f t="shared" si="14"/>
        <v>Yes</v>
      </c>
      <c r="O266">
        <f>SUMIF('raw data'!B$2:B$501,B266,'raw data'!I$2:I$501)</f>
        <v>14386.9</v>
      </c>
      <c r="P266" t="str">
        <f>IF(OR(I266&lt;Visualization!$B$6,I266&gt;Visualization!$B$7),"Outlier","Normal")</f>
        <v>Outlier</v>
      </c>
    </row>
    <row r="267" spans="1:16" x14ac:dyDescent="0.35">
      <c r="A267" s="6" t="s">
        <v>274</v>
      </c>
      <c r="B267" s="15">
        <v>45180</v>
      </c>
      <c r="C267" s="6" t="s">
        <v>590</v>
      </c>
      <c r="D267" s="6" t="s">
        <v>611</v>
      </c>
      <c r="E267" s="6" t="s">
        <v>651</v>
      </c>
      <c r="F267" s="6">
        <v>2</v>
      </c>
      <c r="G267" s="6">
        <v>1499</v>
      </c>
      <c r="H267" s="6">
        <v>10</v>
      </c>
      <c r="I267" s="6">
        <v>2698.2</v>
      </c>
      <c r="J267" s="6" t="str">
        <f>IF(I267&gt;formulas!$B$5,"yes","no")</f>
        <v>yes</v>
      </c>
      <c r="K267" s="6" t="str">
        <f t="shared" si="12"/>
        <v>yes</v>
      </c>
      <c r="L267" s="6" t="str">
        <f>IF(COUNTIF('raw data'!$B$2:$B$501,B267)&gt;1,"Yes","No")</f>
        <v>Yes</v>
      </c>
      <c r="M267" t="str">
        <f t="shared" si="13"/>
        <v>no</v>
      </c>
      <c r="N267" t="str">
        <f t="shared" si="14"/>
        <v>Yes</v>
      </c>
      <c r="O267">
        <f>SUMIF('raw data'!B$2:B$501,B267,'raw data'!I$2:I$501)</f>
        <v>2698.2</v>
      </c>
      <c r="P267" t="str">
        <f>IF(OR(I267&lt;Visualization!$B$6,I267&gt;Visualization!$B$7),"Outlier","Normal")</f>
        <v>Outlier</v>
      </c>
    </row>
    <row r="268" spans="1:16" x14ac:dyDescent="0.35">
      <c r="A268" s="6" t="s">
        <v>275</v>
      </c>
      <c r="B268" s="15">
        <v>45066</v>
      </c>
      <c r="C268" s="6" t="s">
        <v>544</v>
      </c>
      <c r="D268" s="6" t="s">
        <v>613</v>
      </c>
      <c r="E268" s="6" t="s">
        <v>634</v>
      </c>
      <c r="F268" s="6">
        <v>4</v>
      </c>
      <c r="G268" s="6">
        <v>1999</v>
      </c>
      <c r="H268" s="6">
        <v>20</v>
      </c>
      <c r="I268" s="6">
        <v>6396.8</v>
      </c>
      <c r="J268" s="6" t="str">
        <f>IF(I268&gt;formulas!$B$5,"yes","no")</f>
        <v>yes</v>
      </c>
      <c r="K268" s="6" t="str">
        <f t="shared" si="12"/>
        <v>yes</v>
      </c>
      <c r="L268" s="6" t="str">
        <f>IF(COUNTIF('raw data'!$B$2:$B$501,B268)&gt;1,"Yes","No")</f>
        <v>No</v>
      </c>
      <c r="M268" t="str">
        <f t="shared" si="13"/>
        <v>yes</v>
      </c>
      <c r="N268" t="str">
        <f t="shared" si="14"/>
        <v>No</v>
      </c>
      <c r="O268">
        <f>SUMIF('raw data'!B$2:B$501,B268,'raw data'!I$2:I$501)</f>
        <v>6396.8</v>
      </c>
      <c r="P268" t="str">
        <f>IF(OR(I268&lt;Visualization!$B$6,I268&gt;Visualization!$B$7),"Outlier","Normal")</f>
        <v>Outlier</v>
      </c>
    </row>
    <row r="269" spans="1:16" x14ac:dyDescent="0.35">
      <c r="A269" s="6" t="s">
        <v>276</v>
      </c>
      <c r="B269" s="15">
        <v>44963</v>
      </c>
      <c r="C269" s="6" t="s">
        <v>555</v>
      </c>
      <c r="D269" s="6" t="s">
        <v>609</v>
      </c>
      <c r="E269" s="6" t="s">
        <v>680</v>
      </c>
      <c r="F269" s="6">
        <v>1</v>
      </c>
      <c r="G269" s="6"/>
      <c r="H269" s="6">
        <v>5</v>
      </c>
      <c r="I269" s="6"/>
      <c r="J269" s="6" t="str">
        <f>IF(I269&gt;formulas!$B$5,"yes","no")</f>
        <v>no</v>
      </c>
      <c r="K269" s="6" t="str">
        <f t="shared" si="12"/>
        <v>yes</v>
      </c>
      <c r="L269" s="6" t="str">
        <f>IF(COUNTIF('raw data'!$B$2:$B$501,B269)&gt;1,"Yes","No")</f>
        <v>Yes</v>
      </c>
      <c r="M269" t="str">
        <f t="shared" si="13"/>
        <v>no</v>
      </c>
      <c r="N269" t="str">
        <f t="shared" si="14"/>
        <v>No</v>
      </c>
      <c r="O269">
        <f>SUMIF('raw data'!B$2:B$501,B269,'raw data'!I$2:I$501)</f>
        <v>499</v>
      </c>
      <c r="P269" t="str">
        <f>IF(OR(I269&lt;Visualization!$B$6,I269&gt;Visualization!$B$7),"Outlier","Normal")</f>
        <v>Normal</v>
      </c>
    </row>
    <row r="270" spans="1:16" x14ac:dyDescent="0.35">
      <c r="A270" s="6" t="s">
        <v>277</v>
      </c>
      <c r="B270" s="15">
        <v>45086</v>
      </c>
      <c r="C270" s="6" t="s">
        <v>595</v>
      </c>
      <c r="D270" s="6" t="s">
        <v>613</v>
      </c>
      <c r="E270" s="6" t="s">
        <v>707</v>
      </c>
      <c r="F270" s="6">
        <v>5</v>
      </c>
      <c r="G270" s="6"/>
      <c r="H270" s="6"/>
      <c r="I270" s="6"/>
      <c r="J270" s="6" t="str">
        <f>IF(I270&gt;formulas!$B$5,"yes","no")</f>
        <v>no</v>
      </c>
      <c r="K270" s="6" t="str">
        <f t="shared" si="12"/>
        <v>no</v>
      </c>
      <c r="L270" s="6" t="str">
        <f>IF(COUNTIF('raw data'!$B$2:$B$501,B270)&gt;1,"Yes","No")</f>
        <v>Yes</v>
      </c>
      <c r="M270" t="str">
        <f t="shared" si="13"/>
        <v>no</v>
      </c>
      <c r="N270" t="str">
        <f t="shared" si="14"/>
        <v>No</v>
      </c>
      <c r="O270">
        <f>SUMIF('raw data'!B$2:B$501,B270,'raw data'!I$2:I$501)</f>
        <v>2919.25</v>
      </c>
      <c r="P270" t="str">
        <f>IF(OR(I270&lt;Visualization!$B$6,I270&gt;Visualization!$B$7),"Outlier","Normal")</f>
        <v>Normal</v>
      </c>
    </row>
    <row r="271" spans="1:16" x14ac:dyDescent="0.35">
      <c r="A271" s="6" t="s">
        <v>278</v>
      </c>
      <c r="B271" s="15">
        <v>44935</v>
      </c>
      <c r="C271" s="6" t="s">
        <v>510</v>
      </c>
      <c r="D271" s="6" t="s">
        <v>609</v>
      </c>
      <c r="E271" s="6" t="s">
        <v>663</v>
      </c>
      <c r="F271" s="6">
        <v>4</v>
      </c>
      <c r="G271" s="6">
        <v>999</v>
      </c>
      <c r="H271" s="6">
        <v>5</v>
      </c>
      <c r="I271" s="6">
        <v>3796.2</v>
      </c>
      <c r="J271" s="6" t="str">
        <f>IF(I271&gt;formulas!$B$5,"yes","no")</f>
        <v>yes</v>
      </c>
      <c r="K271" s="6" t="str">
        <f t="shared" si="12"/>
        <v>yes</v>
      </c>
      <c r="L271" s="6" t="str">
        <f>IF(COUNTIF('raw data'!$B$2:$B$501,B271)&gt;1,"Yes","No")</f>
        <v>Yes</v>
      </c>
      <c r="M271" t="str">
        <f t="shared" si="13"/>
        <v>no</v>
      </c>
      <c r="N271" t="str">
        <f t="shared" si="14"/>
        <v>Yes</v>
      </c>
      <c r="O271">
        <f>SUMIF('raw data'!B$2:B$501,B271,'raw data'!I$2:I$501)</f>
        <v>4794.2</v>
      </c>
      <c r="P271" t="str">
        <f>IF(OR(I271&lt;Visualization!$B$6,I271&gt;Visualization!$B$7),"Outlier","Normal")</f>
        <v>Outlier</v>
      </c>
    </row>
    <row r="272" spans="1:16" x14ac:dyDescent="0.35">
      <c r="A272" s="6" t="s">
        <v>279</v>
      </c>
      <c r="B272" s="15">
        <v>45159</v>
      </c>
      <c r="C272" s="6" t="s">
        <v>532</v>
      </c>
      <c r="D272" s="6" t="s">
        <v>610</v>
      </c>
      <c r="E272" s="6" t="s">
        <v>681</v>
      </c>
      <c r="F272" s="6">
        <v>1</v>
      </c>
      <c r="G272" s="6">
        <v>999</v>
      </c>
      <c r="H272" s="6">
        <v>10</v>
      </c>
      <c r="I272" s="6">
        <v>899.1</v>
      </c>
      <c r="J272" s="6" t="str">
        <f>IF(I272&gt;formulas!$B$5,"yes","no")</f>
        <v>no</v>
      </c>
      <c r="K272" s="6" t="str">
        <f t="shared" si="12"/>
        <v>yes</v>
      </c>
      <c r="L272" s="6" t="str">
        <f>IF(COUNTIF('raw data'!$B$2:$B$501,B272)&gt;1,"Yes","No")</f>
        <v>Yes</v>
      </c>
      <c r="M272" t="str">
        <f t="shared" si="13"/>
        <v>no</v>
      </c>
      <c r="N272" t="str">
        <f t="shared" si="14"/>
        <v>No</v>
      </c>
      <c r="O272">
        <f>SUMIF('raw data'!B$2:B$501,B272,'raw data'!I$2:I$501)</f>
        <v>3755.7</v>
      </c>
      <c r="P272" t="str">
        <f>IF(OR(I272&lt;Visualization!$B$6,I272&gt;Visualization!$B$7),"Outlier","Normal")</f>
        <v>Outlier</v>
      </c>
    </row>
    <row r="273" spans="1:16" x14ac:dyDescent="0.35">
      <c r="A273" s="6" t="s">
        <v>280</v>
      </c>
      <c r="B273" s="15">
        <v>45025</v>
      </c>
      <c r="C273" s="6" t="s">
        <v>570</v>
      </c>
      <c r="D273" s="6" t="s">
        <v>613</v>
      </c>
      <c r="E273" s="6" t="s">
        <v>622</v>
      </c>
      <c r="F273" s="6">
        <v>4</v>
      </c>
      <c r="G273" s="6">
        <v>199</v>
      </c>
      <c r="H273" s="6"/>
      <c r="I273" s="6">
        <v>796</v>
      </c>
      <c r="J273" s="6" t="str">
        <f>IF(I273&gt;formulas!$B$5,"yes","no")</f>
        <v>no</v>
      </c>
      <c r="K273" s="6" t="str">
        <f t="shared" si="12"/>
        <v>no</v>
      </c>
      <c r="L273" s="6" t="str">
        <f>IF(COUNTIF('raw data'!$B$2:$B$501,B273)&gt;1,"Yes","No")</f>
        <v>Yes</v>
      </c>
      <c r="M273" t="str">
        <f t="shared" si="13"/>
        <v>no</v>
      </c>
      <c r="N273" t="str">
        <f t="shared" si="14"/>
        <v>No</v>
      </c>
      <c r="O273">
        <f>SUMIF('raw data'!B$2:B$501,B273,'raw data'!I$2:I$501)</f>
        <v>14336.099999999999</v>
      </c>
      <c r="P273" t="str">
        <f>IF(OR(I273&lt;Visualization!$B$6,I273&gt;Visualization!$B$7),"Outlier","Normal")</f>
        <v>Outlier</v>
      </c>
    </row>
    <row r="274" spans="1:16" x14ac:dyDescent="0.35">
      <c r="A274" s="6" t="s">
        <v>281</v>
      </c>
      <c r="B274" s="15">
        <v>45073</v>
      </c>
      <c r="C274" s="6" t="s">
        <v>529</v>
      </c>
      <c r="D274" s="6" t="s">
        <v>610</v>
      </c>
      <c r="E274" s="6" t="s">
        <v>649</v>
      </c>
      <c r="F274" s="6">
        <v>3</v>
      </c>
      <c r="G274" s="6">
        <v>499</v>
      </c>
      <c r="H274" s="6">
        <v>0</v>
      </c>
      <c r="I274" s="6">
        <v>1497</v>
      </c>
      <c r="J274" s="6" t="str">
        <f>IF(I274&gt;formulas!$B$5,"yes","no")</f>
        <v>yes</v>
      </c>
      <c r="K274" s="6" t="str">
        <f t="shared" si="12"/>
        <v>no</v>
      </c>
      <c r="L274" s="6" t="str">
        <f>IF(COUNTIF('raw data'!$B$2:$B$501,B274)&gt;1,"Yes","No")</f>
        <v>Yes</v>
      </c>
      <c r="M274" t="str">
        <f t="shared" si="13"/>
        <v>no</v>
      </c>
      <c r="N274" t="str">
        <f t="shared" si="14"/>
        <v>Yes</v>
      </c>
      <c r="O274">
        <f>SUMIF('raw data'!B$2:B$501,B274,'raw data'!I$2:I$501)</f>
        <v>12043.649999999998</v>
      </c>
      <c r="P274" t="str">
        <f>IF(OR(I274&lt;Visualization!$B$6,I274&gt;Visualization!$B$7),"Outlier","Normal")</f>
        <v>Outlier</v>
      </c>
    </row>
    <row r="275" spans="1:16" x14ac:dyDescent="0.35">
      <c r="A275" s="6" t="s">
        <v>282</v>
      </c>
      <c r="B275" s="15">
        <v>45230</v>
      </c>
      <c r="C275" s="6" t="s">
        <v>578</v>
      </c>
      <c r="D275" s="6" t="s">
        <v>612</v>
      </c>
      <c r="E275" s="6" t="s">
        <v>629</v>
      </c>
      <c r="F275" s="6">
        <v>3</v>
      </c>
      <c r="G275" s="6">
        <v>199</v>
      </c>
      <c r="H275" s="6">
        <v>0</v>
      </c>
      <c r="I275" s="6">
        <v>597</v>
      </c>
      <c r="J275" s="6" t="str">
        <f>IF(I275&gt;formulas!$B$5,"yes","no")</f>
        <v>no</v>
      </c>
      <c r="K275" s="6" t="str">
        <f t="shared" si="12"/>
        <v>no</v>
      </c>
      <c r="L275" s="6" t="str">
        <f>IF(COUNTIF('raw data'!$B$2:$B$501,B275)&gt;1,"Yes","No")</f>
        <v>Yes</v>
      </c>
      <c r="M275" t="str">
        <f t="shared" si="13"/>
        <v>no</v>
      </c>
      <c r="N275" t="str">
        <f t="shared" si="14"/>
        <v>No</v>
      </c>
      <c r="O275">
        <f>SUMIF('raw data'!B$2:B$501,B275,'raw data'!I$2:I$501)</f>
        <v>14386.9</v>
      </c>
      <c r="P275" t="str">
        <f>IF(OR(I275&lt;Visualization!$B$6,I275&gt;Visualization!$B$7),"Outlier","Normal")</f>
        <v>Outlier</v>
      </c>
    </row>
    <row r="276" spans="1:16" x14ac:dyDescent="0.35">
      <c r="A276" s="6" t="s">
        <v>283</v>
      </c>
      <c r="B276" s="15">
        <v>45134</v>
      </c>
      <c r="C276" s="6" t="s">
        <v>591</v>
      </c>
      <c r="D276" s="6" t="s">
        <v>612</v>
      </c>
      <c r="E276" s="6" t="s">
        <v>640</v>
      </c>
      <c r="F276" s="6">
        <v>2</v>
      </c>
      <c r="G276" s="6">
        <v>299</v>
      </c>
      <c r="H276" s="6">
        <v>15</v>
      </c>
      <c r="I276" s="6">
        <v>508.3</v>
      </c>
      <c r="J276" s="6" t="str">
        <f>IF(I276&gt;formulas!$B$5,"yes","no")</f>
        <v>no</v>
      </c>
      <c r="K276" s="6" t="str">
        <f t="shared" si="12"/>
        <v>yes</v>
      </c>
      <c r="L276" s="6" t="str">
        <f>IF(COUNTIF('raw data'!$B$2:$B$501,B276)&gt;1,"Yes","No")</f>
        <v>Yes</v>
      </c>
      <c r="M276" t="str">
        <f t="shared" si="13"/>
        <v>no</v>
      </c>
      <c r="N276" t="str">
        <f t="shared" si="14"/>
        <v>No</v>
      </c>
      <c r="O276">
        <f>SUMIF('raw data'!B$2:B$501,B276,'raw data'!I$2:I$501)</f>
        <v>1225.9000000000001</v>
      </c>
      <c r="P276" t="str">
        <f>IF(OR(I276&lt;Visualization!$B$6,I276&gt;Visualization!$B$7),"Outlier","Normal")</f>
        <v>Outlier</v>
      </c>
    </row>
    <row r="277" spans="1:16" x14ac:dyDescent="0.35">
      <c r="A277" s="6" t="s">
        <v>284</v>
      </c>
      <c r="B277" s="15">
        <v>45057</v>
      </c>
      <c r="C277" s="6" t="s">
        <v>573</v>
      </c>
      <c r="D277" s="6" t="s">
        <v>611</v>
      </c>
      <c r="E277" s="6" t="s">
        <v>634</v>
      </c>
      <c r="F277" s="6">
        <v>2</v>
      </c>
      <c r="G277" s="6"/>
      <c r="H277" s="6">
        <v>10</v>
      </c>
      <c r="I277" s="6"/>
      <c r="J277" s="6" t="str">
        <f>IF(I277&gt;formulas!$B$5,"yes","no")</f>
        <v>no</v>
      </c>
      <c r="K277" s="6" t="str">
        <f t="shared" si="12"/>
        <v>yes</v>
      </c>
      <c r="L277" s="6" t="str">
        <f>IF(COUNTIF('raw data'!$B$2:$B$501,B277)&gt;1,"Yes","No")</f>
        <v>Yes</v>
      </c>
      <c r="M277" t="str">
        <f t="shared" si="13"/>
        <v>no</v>
      </c>
      <c r="N277" t="str">
        <f t="shared" si="14"/>
        <v>No</v>
      </c>
      <c r="O277">
        <f>SUMIF('raw data'!B$2:B$501,B277,'raw data'!I$2:I$501)</f>
        <v>2495</v>
      </c>
      <c r="P277" t="str">
        <f>IF(OR(I277&lt;Visualization!$B$6,I277&gt;Visualization!$B$7),"Outlier","Normal")</f>
        <v>Normal</v>
      </c>
    </row>
    <row r="278" spans="1:16" x14ac:dyDescent="0.35">
      <c r="A278" s="6" t="s">
        <v>285</v>
      </c>
      <c r="B278" s="15">
        <v>45078</v>
      </c>
      <c r="C278" s="6" t="s">
        <v>552</v>
      </c>
      <c r="D278" s="6" t="s">
        <v>613</v>
      </c>
      <c r="E278" s="6" t="s">
        <v>692</v>
      </c>
      <c r="F278" s="6">
        <v>2</v>
      </c>
      <c r="G278" s="6">
        <v>1999</v>
      </c>
      <c r="H278" s="6">
        <v>15</v>
      </c>
      <c r="I278" s="6">
        <v>3398.3</v>
      </c>
      <c r="J278" s="6" t="str">
        <f>IF(I278&gt;formulas!$B$5,"yes","no")</f>
        <v>yes</v>
      </c>
      <c r="K278" s="6" t="str">
        <f t="shared" si="12"/>
        <v>yes</v>
      </c>
      <c r="L278" s="6" t="str">
        <f>IF(COUNTIF('raw data'!$B$2:$B$501,B278)&gt;1,"Yes","No")</f>
        <v>Yes</v>
      </c>
      <c r="M278" t="str">
        <f t="shared" si="13"/>
        <v>no</v>
      </c>
      <c r="N278" t="str">
        <f t="shared" si="14"/>
        <v>Yes</v>
      </c>
      <c r="O278">
        <f>SUMIF('raw data'!B$2:B$501,B278,'raw data'!I$2:I$501)</f>
        <v>5519.05</v>
      </c>
      <c r="P278" t="str">
        <f>IF(OR(I278&lt;Visualization!$B$6,I278&gt;Visualization!$B$7),"Outlier","Normal")</f>
        <v>Outlier</v>
      </c>
    </row>
    <row r="279" spans="1:16" x14ac:dyDescent="0.35">
      <c r="A279" s="6" t="s">
        <v>286</v>
      </c>
      <c r="B279" s="15">
        <v>44980</v>
      </c>
      <c r="C279" s="6" t="s">
        <v>573</v>
      </c>
      <c r="D279" s="6" t="s">
        <v>610</v>
      </c>
      <c r="E279" s="6" t="s">
        <v>708</v>
      </c>
      <c r="F279" s="6">
        <v>2</v>
      </c>
      <c r="G279" s="6">
        <v>1499</v>
      </c>
      <c r="H279" s="6"/>
      <c r="I279" s="6">
        <v>2998</v>
      </c>
      <c r="J279" s="6" t="str">
        <f>IF(I279&gt;formulas!$B$5,"yes","no")</f>
        <v>yes</v>
      </c>
      <c r="K279" s="6" t="str">
        <f t="shared" si="12"/>
        <v>no</v>
      </c>
      <c r="L279" s="6" t="str">
        <f>IF(COUNTIF('raw data'!$B$2:$B$501,B279)&gt;1,"Yes","No")</f>
        <v>Yes</v>
      </c>
      <c r="M279" t="str">
        <f t="shared" si="13"/>
        <v>no</v>
      </c>
      <c r="N279" t="str">
        <f t="shared" si="14"/>
        <v>Yes</v>
      </c>
      <c r="O279">
        <f>SUMIF('raw data'!B$2:B$501,B279,'raw data'!I$2:I$501)</f>
        <v>6687.6</v>
      </c>
      <c r="P279" t="str">
        <f>IF(OR(I279&lt;Visualization!$B$6,I279&gt;Visualization!$B$7),"Outlier","Normal")</f>
        <v>Outlier</v>
      </c>
    </row>
    <row r="280" spans="1:16" x14ac:dyDescent="0.35">
      <c r="A280" s="6" t="s">
        <v>287</v>
      </c>
      <c r="B280" s="15">
        <v>45046</v>
      </c>
      <c r="C280" s="6" t="s">
        <v>554</v>
      </c>
      <c r="D280" s="6" t="s">
        <v>609</v>
      </c>
      <c r="E280" s="6" t="s">
        <v>680</v>
      </c>
      <c r="F280" s="6">
        <v>3</v>
      </c>
      <c r="G280" s="6"/>
      <c r="H280" s="6">
        <v>10</v>
      </c>
      <c r="I280" s="6"/>
      <c r="J280" s="6" t="str">
        <f>IF(I280&gt;formulas!$B$5,"yes","no")</f>
        <v>no</v>
      </c>
      <c r="K280" s="6" t="str">
        <f t="shared" si="12"/>
        <v>yes</v>
      </c>
      <c r="L280" s="6" t="str">
        <f>IF(COUNTIF('raw data'!$B$2:$B$501,B280)&gt;1,"Yes","No")</f>
        <v>Yes</v>
      </c>
      <c r="M280" t="str">
        <f t="shared" si="13"/>
        <v>no</v>
      </c>
      <c r="N280" t="str">
        <f t="shared" si="14"/>
        <v>No</v>
      </c>
      <c r="O280">
        <f>SUMIF('raw data'!B$2:B$501,B280,'raw data'!I$2:I$501)</f>
        <v>424.15</v>
      </c>
      <c r="P280" t="str">
        <f>IF(OR(I280&lt;Visualization!$B$6,I280&gt;Visualization!$B$7),"Outlier","Normal")</f>
        <v>Normal</v>
      </c>
    </row>
    <row r="281" spans="1:16" x14ac:dyDescent="0.35">
      <c r="A281" s="6" t="s">
        <v>288</v>
      </c>
      <c r="B281" s="15">
        <v>45087</v>
      </c>
      <c r="C281" s="6" t="s">
        <v>525</v>
      </c>
      <c r="D281" s="6" t="s">
        <v>612</v>
      </c>
      <c r="E281" s="6" t="s">
        <v>706</v>
      </c>
      <c r="F281" s="6">
        <v>3</v>
      </c>
      <c r="G281" s="6"/>
      <c r="H281" s="6">
        <v>20</v>
      </c>
      <c r="I281" s="6"/>
      <c r="J281" s="6" t="str">
        <f>IF(I281&gt;formulas!$B$5,"yes","no")</f>
        <v>no</v>
      </c>
      <c r="K281" s="6" t="str">
        <f t="shared" si="12"/>
        <v>yes</v>
      </c>
      <c r="L281" s="6" t="str">
        <f>IF(COUNTIF('raw data'!$B$2:$B$501,B281)&gt;1,"Yes","No")</f>
        <v>Yes</v>
      </c>
      <c r="M281" t="str">
        <f t="shared" si="13"/>
        <v>yes</v>
      </c>
      <c r="N281" t="str">
        <f t="shared" si="14"/>
        <v>No</v>
      </c>
      <c r="O281">
        <f>SUMIF('raw data'!B$2:B$501,B281,'raw data'!I$2:I$501)</f>
        <v>9893</v>
      </c>
      <c r="P281" t="str">
        <f>IF(OR(I281&lt;Visualization!$B$6,I281&gt;Visualization!$B$7),"Outlier","Normal")</f>
        <v>Normal</v>
      </c>
    </row>
    <row r="282" spans="1:16" x14ac:dyDescent="0.35">
      <c r="A282" s="6" t="s">
        <v>289</v>
      </c>
      <c r="B282" s="15">
        <v>45042</v>
      </c>
      <c r="C282" s="6" t="s">
        <v>525</v>
      </c>
      <c r="D282" s="6" t="s">
        <v>612</v>
      </c>
      <c r="E282" s="6" t="s">
        <v>668</v>
      </c>
      <c r="F282" s="6">
        <v>2</v>
      </c>
      <c r="G282" s="6">
        <v>199</v>
      </c>
      <c r="H282" s="6">
        <v>5</v>
      </c>
      <c r="I282" s="6">
        <v>378.1</v>
      </c>
      <c r="J282" s="6" t="str">
        <f>IF(I282&gt;formulas!$B$5,"yes","no")</f>
        <v>no</v>
      </c>
      <c r="K282" s="6" t="str">
        <f t="shared" si="12"/>
        <v>yes</v>
      </c>
      <c r="L282" s="6" t="str">
        <f>IF(COUNTIF('raw data'!$B$2:$B$501,B282)&gt;1,"Yes","No")</f>
        <v>Yes</v>
      </c>
      <c r="M282" t="str">
        <f t="shared" si="13"/>
        <v>no</v>
      </c>
      <c r="N282" t="str">
        <f t="shared" si="14"/>
        <v>No</v>
      </c>
      <c r="O282">
        <f>SUMIF('raw data'!B$2:B$501,B282,'raw data'!I$2:I$501)</f>
        <v>6224.5</v>
      </c>
      <c r="P282" t="str">
        <f>IF(OR(I282&lt;Visualization!$B$6,I282&gt;Visualization!$B$7),"Outlier","Normal")</f>
        <v>Outlier</v>
      </c>
    </row>
    <row r="283" spans="1:16" x14ac:dyDescent="0.35">
      <c r="A283" s="6" t="s">
        <v>290</v>
      </c>
      <c r="B283" s="15">
        <v>45001</v>
      </c>
      <c r="C283" s="6" t="s">
        <v>568</v>
      </c>
      <c r="D283" s="6" t="s">
        <v>609</v>
      </c>
      <c r="E283" s="6" t="s">
        <v>640</v>
      </c>
      <c r="F283" s="6">
        <v>3</v>
      </c>
      <c r="G283" s="6">
        <v>1499</v>
      </c>
      <c r="H283" s="6">
        <v>20</v>
      </c>
      <c r="I283" s="6">
        <v>3597.6</v>
      </c>
      <c r="J283" s="6" t="str">
        <f>IF(I283&gt;formulas!$B$5,"yes","no")</f>
        <v>yes</v>
      </c>
      <c r="K283" s="6" t="str">
        <f t="shared" si="12"/>
        <v>yes</v>
      </c>
      <c r="L283" s="6" t="str">
        <f>IF(COUNTIF('raw data'!$B$2:$B$501,B283)&gt;1,"Yes","No")</f>
        <v>No</v>
      </c>
      <c r="M283" t="str">
        <f t="shared" si="13"/>
        <v>yes</v>
      </c>
      <c r="N283" t="str">
        <f t="shared" si="14"/>
        <v>No</v>
      </c>
      <c r="O283">
        <f>SUMIF('raw data'!B$2:B$501,B283,'raw data'!I$2:I$501)</f>
        <v>3597.6</v>
      </c>
      <c r="P283" t="str">
        <f>IF(OR(I283&lt;Visualization!$B$6,I283&gt;Visualization!$B$7),"Outlier","Normal")</f>
        <v>Outlier</v>
      </c>
    </row>
    <row r="284" spans="1:16" x14ac:dyDescent="0.35">
      <c r="A284" s="6" t="s">
        <v>291</v>
      </c>
      <c r="B284" s="15">
        <v>45039</v>
      </c>
      <c r="C284" s="6" t="s">
        <v>557</v>
      </c>
      <c r="D284" s="6" t="s">
        <v>610</v>
      </c>
      <c r="E284" s="6" t="s">
        <v>633</v>
      </c>
      <c r="F284" s="6">
        <v>1</v>
      </c>
      <c r="G284" s="6">
        <v>1499</v>
      </c>
      <c r="H284" s="6"/>
      <c r="I284" s="6">
        <v>1499</v>
      </c>
      <c r="J284" s="6" t="str">
        <f>IF(I284&gt;formulas!$B$5,"yes","no")</f>
        <v>yes</v>
      </c>
      <c r="K284" s="6" t="str">
        <f t="shared" si="12"/>
        <v>no</v>
      </c>
      <c r="L284" s="6" t="str">
        <f>IF(COUNTIF('raw data'!$B$2:$B$501,B284)&gt;1,"Yes","No")</f>
        <v>Yes</v>
      </c>
      <c r="M284" t="str">
        <f t="shared" si="13"/>
        <v>no</v>
      </c>
      <c r="N284" t="str">
        <f t="shared" si="14"/>
        <v>Yes</v>
      </c>
      <c r="O284">
        <f>SUMIF('raw data'!B$2:B$501,B284,'raw data'!I$2:I$501)</f>
        <v>8387</v>
      </c>
      <c r="P284" t="str">
        <f>IF(OR(I284&lt;Visualization!$B$6,I284&gt;Visualization!$B$7),"Outlier","Normal")</f>
        <v>Outlier</v>
      </c>
    </row>
    <row r="285" spans="1:16" x14ac:dyDescent="0.35">
      <c r="A285" s="6" t="s">
        <v>292</v>
      </c>
      <c r="B285" s="15">
        <v>45030</v>
      </c>
      <c r="C285" s="6" t="s">
        <v>572</v>
      </c>
      <c r="D285" s="6" t="s">
        <v>610</v>
      </c>
      <c r="E285" s="6" t="s">
        <v>622</v>
      </c>
      <c r="F285" s="6">
        <v>1</v>
      </c>
      <c r="G285" s="6">
        <v>1499</v>
      </c>
      <c r="H285" s="6">
        <v>10</v>
      </c>
      <c r="I285" s="6">
        <v>1349.1</v>
      </c>
      <c r="J285" s="6" t="str">
        <f>IF(I285&gt;formulas!$B$5,"yes","no")</f>
        <v>no</v>
      </c>
      <c r="K285" s="6" t="str">
        <f t="shared" si="12"/>
        <v>yes</v>
      </c>
      <c r="L285" s="6" t="str">
        <f>IF(COUNTIF('raw data'!$B$2:$B$501,B285)&gt;1,"Yes","No")</f>
        <v>Yes</v>
      </c>
      <c r="M285" t="str">
        <f t="shared" si="13"/>
        <v>no</v>
      </c>
      <c r="N285" t="str">
        <f t="shared" si="14"/>
        <v>No</v>
      </c>
      <c r="O285">
        <f>SUMIF('raw data'!B$2:B$501,B285,'raw data'!I$2:I$501)</f>
        <v>1826.6999999999998</v>
      </c>
      <c r="P285" t="str">
        <f>IF(OR(I285&lt;Visualization!$B$6,I285&gt;Visualization!$B$7),"Outlier","Normal")</f>
        <v>Outlier</v>
      </c>
    </row>
    <row r="286" spans="1:16" x14ac:dyDescent="0.35">
      <c r="A286" s="6" t="s">
        <v>293</v>
      </c>
      <c r="B286" s="15">
        <v>45266</v>
      </c>
      <c r="C286" s="6" t="s">
        <v>566</v>
      </c>
      <c r="D286" s="6" t="s">
        <v>613</v>
      </c>
      <c r="E286" s="6" t="s">
        <v>701</v>
      </c>
      <c r="F286" s="6">
        <v>4</v>
      </c>
      <c r="G286" s="6">
        <v>199</v>
      </c>
      <c r="H286" s="6"/>
      <c r="I286" s="6">
        <v>796</v>
      </c>
      <c r="J286" s="6" t="str">
        <f>IF(I286&gt;formulas!$B$5,"yes","no")</f>
        <v>no</v>
      </c>
      <c r="K286" s="6" t="str">
        <f t="shared" si="12"/>
        <v>no</v>
      </c>
      <c r="L286" s="6" t="str">
        <f>IF(COUNTIF('raw data'!$B$2:$B$501,B286)&gt;1,"Yes","No")</f>
        <v>Yes</v>
      </c>
      <c r="M286" t="str">
        <f t="shared" si="13"/>
        <v>no</v>
      </c>
      <c r="N286" t="str">
        <f t="shared" si="14"/>
        <v>No</v>
      </c>
      <c r="O286">
        <f>SUMIF('raw data'!B$2:B$501,B286,'raw data'!I$2:I$501)</f>
        <v>11363.95</v>
      </c>
      <c r="P286" t="str">
        <f>IF(OR(I286&lt;Visualization!$B$6,I286&gt;Visualization!$B$7),"Outlier","Normal")</f>
        <v>Outlier</v>
      </c>
    </row>
    <row r="287" spans="1:16" x14ac:dyDescent="0.35">
      <c r="A287" s="6" t="s">
        <v>294</v>
      </c>
      <c r="B287" s="15">
        <v>45180</v>
      </c>
      <c r="C287" s="6" t="s">
        <v>546</v>
      </c>
      <c r="D287" s="6" t="s">
        <v>613</v>
      </c>
      <c r="E287" s="6" t="s">
        <v>628</v>
      </c>
      <c r="F287" s="6">
        <v>2</v>
      </c>
      <c r="G287" s="6"/>
      <c r="H287" s="6">
        <v>5</v>
      </c>
      <c r="I287" s="6"/>
      <c r="J287" s="6" t="str">
        <f>IF(I287&gt;formulas!$B$5,"yes","no")</f>
        <v>no</v>
      </c>
      <c r="K287" s="6" t="str">
        <f t="shared" si="12"/>
        <v>yes</v>
      </c>
      <c r="L287" s="6" t="str">
        <f>IF(COUNTIF('raw data'!$B$2:$B$501,B287)&gt;1,"Yes","No")</f>
        <v>Yes</v>
      </c>
      <c r="M287" t="str">
        <f t="shared" si="13"/>
        <v>no</v>
      </c>
      <c r="N287" t="str">
        <f t="shared" si="14"/>
        <v>No</v>
      </c>
      <c r="O287">
        <f>SUMIF('raw data'!B$2:B$501,B287,'raw data'!I$2:I$501)</f>
        <v>2698.2</v>
      </c>
      <c r="P287" t="str">
        <f>IF(OR(I287&lt;Visualization!$B$6,I287&gt;Visualization!$B$7),"Outlier","Normal")</f>
        <v>Normal</v>
      </c>
    </row>
    <row r="288" spans="1:16" x14ac:dyDescent="0.35">
      <c r="A288" s="6" t="s">
        <v>295</v>
      </c>
      <c r="B288" s="15">
        <v>45153</v>
      </c>
      <c r="C288" s="6" t="s">
        <v>590</v>
      </c>
      <c r="D288" s="6" t="s">
        <v>611</v>
      </c>
      <c r="E288" s="6" t="s">
        <v>694</v>
      </c>
      <c r="F288" s="6">
        <v>0</v>
      </c>
      <c r="G288" s="6">
        <v>199</v>
      </c>
      <c r="H288" s="6">
        <v>0</v>
      </c>
      <c r="I288" s="6">
        <v>0</v>
      </c>
      <c r="J288" s="6" t="str">
        <f>IF(I288&gt;formulas!$B$5,"yes","no")</f>
        <v>no</v>
      </c>
      <c r="K288" s="6" t="str">
        <f t="shared" si="12"/>
        <v>no</v>
      </c>
      <c r="L288" s="6" t="str">
        <f>IF(COUNTIF('raw data'!$B$2:$B$501,B288)&gt;1,"Yes","No")</f>
        <v>Yes</v>
      </c>
      <c r="M288" t="str">
        <f t="shared" si="13"/>
        <v>no</v>
      </c>
      <c r="N288" t="str">
        <f t="shared" si="14"/>
        <v>No</v>
      </c>
      <c r="O288">
        <f>SUMIF('raw data'!B$2:B$501,B288,'raw data'!I$2:I$501)</f>
        <v>5096.5999999999995</v>
      </c>
      <c r="P288" t="str">
        <f>IF(OR(I288&lt;Visualization!$B$6,I288&gt;Visualization!$B$7),"Outlier","Normal")</f>
        <v>Normal</v>
      </c>
    </row>
    <row r="289" spans="1:16" x14ac:dyDescent="0.35">
      <c r="A289" s="6" t="s">
        <v>296</v>
      </c>
      <c r="B289" s="15">
        <v>45038</v>
      </c>
      <c r="C289" s="6" t="s">
        <v>520</v>
      </c>
      <c r="D289" s="6" t="s">
        <v>612</v>
      </c>
      <c r="E289" s="6" t="s">
        <v>688</v>
      </c>
      <c r="F289" s="6">
        <v>1</v>
      </c>
      <c r="G289" s="6">
        <v>999</v>
      </c>
      <c r="H289" s="6">
        <v>0</v>
      </c>
      <c r="I289" s="6">
        <v>999</v>
      </c>
      <c r="J289" s="6" t="str">
        <f>IF(I289&gt;formulas!$B$5,"yes","no")</f>
        <v>no</v>
      </c>
      <c r="K289" s="6" t="str">
        <f t="shared" si="12"/>
        <v>no</v>
      </c>
      <c r="L289" s="6" t="str">
        <f>IF(COUNTIF('raw data'!$B$2:$B$501,B289)&gt;1,"Yes","No")</f>
        <v>Yes</v>
      </c>
      <c r="M289" t="str">
        <f t="shared" si="13"/>
        <v>no</v>
      </c>
      <c r="N289" t="str">
        <f t="shared" si="14"/>
        <v>No</v>
      </c>
      <c r="O289">
        <f>SUMIF('raw data'!B$2:B$501,B289,'raw data'!I$2:I$501)</f>
        <v>4997</v>
      </c>
      <c r="P289" t="str">
        <f>IF(OR(I289&lt;Visualization!$B$6,I289&gt;Visualization!$B$7),"Outlier","Normal")</f>
        <v>Outlier</v>
      </c>
    </row>
    <row r="290" spans="1:16" x14ac:dyDescent="0.35">
      <c r="A290" s="6" t="s">
        <v>297</v>
      </c>
      <c r="B290" s="15">
        <v>45025</v>
      </c>
      <c r="C290" s="6" t="s">
        <v>583</v>
      </c>
      <c r="D290" s="6" t="s">
        <v>613</v>
      </c>
      <c r="E290" s="6" t="s">
        <v>629</v>
      </c>
      <c r="F290" s="6">
        <v>1</v>
      </c>
      <c r="G290" s="6">
        <v>999</v>
      </c>
      <c r="H290" s="6"/>
      <c r="I290" s="6">
        <v>999</v>
      </c>
      <c r="J290" s="6" t="str">
        <f>IF(I290&gt;formulas!$B$5,"yes","no")</f>
        <v>no</v>
      </c>
      <c r="K290" s="6" t="str">
        <f t="shared" si="12"/>
        <v>no</v>
      </c>
      <c r="L290" s="6" t="str">
        <f>IF(COUNTIF('raw data'!$B$2:$B$501,B290)&gt;1,"Yes","No")</f>
        <v>Yes</v>
      </c>
      <c r="M290" t="str">
        <f t="shared" si="13"/>
        <v>no</v>
      </c>
      <c r="N290" t="str">
        <f t="shared" si="14"/>
        <v>No</v>
      </c>
      <c r="O290">
        <f>SUMIF('raw data'!B$2:B$501,B290,'raw data'!I$2:I$501)</f>
        <v>14336.099999999999</v>
      </c>
      <c r="P290" t="str">
        <f>IF(OR(I290&lt;Visualization!$B$6,I290&gt;Visualization!$B$7),"Outlier","Normal")</f>
        <v>Outlier</v>
      </c>
    </row>
    <row r="291" spans="1:16" x14ac:dyDescent="0.35">
      <c r="A291" s="6" t="s">
        <v>298</v>
      </c>
      <c r="B291" s="15">
        <v>45079</v>
      </c>
      <c r="C291" s="6" t="s">
        <v>592</v>
      </c>
      <c r="D291" s="6" t="s">
        <v>610</v>
      </c>
      <c r="E291" s="6" t="s">
        <v>651</v>
      </c>
      <c r="F291" s="6"/>
      <c r="G291" s="6">
        <v>199</v>
      </c>
      <c r="H291" s="6">
        <v>15</v>
      </c>
      <c r="I291" s="6"/>
      <c r="J291" s="6" t="str">
        <f>IF(I291&gt;formulas!$B$5,"yes","no")</f>
        <v>no</v>
      </c>
      <c r="K291" s="6" t="str">
        <f t="shared" si="12"/>
        <v>yes</v>
      </c>
      <c r="L291" s="6" t="str">
        <f>IF(COUNTIF('raw data'!$B$2:$B$501,B291)&gt;1,"Yes","No")</f>
        <v>Yes</v>
      </c>
      <c r="M291" t="str">
        <f t="shared" si="13"/>
        <v>no</v>
      </c>
      <c r="N291" t="str">
        <f t="shared" si="14"/>
        <v>No</v>
      </c>
      <c r="O291">
        <f>SUMIF('raw data'!B$2:B$501,B291,'raw data'!I$2:I$501)</f>
        <v>284.05</v>
      </c>
      <c r="P291" t="str">
        <f>IF(OR(I291&lt;Visualization!$B$6,I291&gt;Visualization!$B$7),"Outlier","Normal")</f>
        <v>Normal</v>
      </c>
    </row>
    <row r="292" spans="1:16" x14ac:dyDescent="0.35">
      <c r="A292" s="6" t="s">
        <v>299</v>
      </c>
      <c r="B292" s="15">
        <v>45275</v>
      </c>
      <c r="C292" s="6" t="s">
        <v>584</v>
      </c>
      <c r="D292" s="6" t="s">
        <v>609</v>
      </c>
      <c r="E292" s="6" t="s">
        <v>702</v>
      </c>
      <c r="F292" s="6">
        <v>3</v>
      </c>
      <c r="G292" s="6">
        <v>1499</v>
      </c>
      <c r="H292" s="6">
        <v>10</v>
      </c>
      <c r="I292" s="6">
        <v>4047.3</v>
      </c>
      <c r="J292" s="6" t="str">
        <f>IF(I292&gt;formulas!$B$5,"yes","no")</f>
        <v>yes</v>
      </c>
      <c r="K292" s="6" t="str">
        <f t="shared" si="12"/>
        <v>yes</v>
      </c>
      <c r="L292" s="6" t="str">
        <f>IF(COUNTIF('raw data'!$B$2:$B$501,B292)&gt;1,"Yes","No")</f>
        <v>Yes</v>
      </c>
      <c r="M292" t="str">
        <f t="shared" si="13"/>
        <v>no</v>
      </c>
      <c r="N292" t="str">
        <f t="shared" si="14"/>
        <v>Yes</v>
      </c>
      <c r="O292">
        <f>SUMIF('raw data'!B$2:B$501,B292,'raw data'!I$2:I$501)</f>
        <v>7282.8</v>
      </c>
      <c r="P292" t="str">
        <f>IF(OR(I292&lt;Visualization!$B$6,I292&gt;Visualization!$B$7),"Outlier","Normal")</f>
        <v>Outlier</v>
      </c>
    </row>
    <row r="293" spans="1:16" x14ac:dyDescent="0.35">
      <c r="A293" s="6" t="s">
        <v>300</v>
      </c>
      <c r="B293" s="15">
        <v>45264</v>
      </c>
      <c r="C293" s="6" t="s">
        <v>553</v>
      </c>
      <c r="D293" s="6" t="s">
        <v>610</v>
      </c>
      <c r="E293" s="6" t="s">
        <v>646</v>
      </c>
      <c r="F293" s="6">
        <v>5</v>
      </c>
      <c r="G293" s="6"/>
      <c r="H293" s="6">
        <v>10</v>
      </c>
      <c r="I293" s="6"/>
      <c r="J293" s="6" t="str">
        <f>IF(I293&gt;formulas!$B$5,"yes","no")</f>
        <v>no</v>
      </c>
      <c r="K293" s="6" t="str">
        <f t="shared" si="12"/>
        <v>yes</v>
      </c>
      <c r="L293" s="6" t="str">
        <f>IF(COUNTIF('raw data'!$B$2:$B$501,B293)&gt;1,"Yes","No")</f>
        <v>Yes</v>
      </c>
      <c r="M293" t="str">
        <f t="shared" si="13"/>
        <v>no</v>
      </c>
      <c r="N293" t="str">
        <f t="shared" si="14"/>
        <v>No</v>
      </c>
      <c r="O293">
        <f>SUMIF('raw data'!B$2:B$501,B293,'raw data'!I$2:I$501)</f>
        <v>3805.3</v>
      </c>
      <c r="P293" t="str">
        <f>IF(OR(I293&lt;Visualization!$B$6,I293&gt;Visualization!$B$7),"Outlier","Normal")</f>
        <v>Normal</v>
      </c>
    </row>
    <row r="294" spans="1:16" x14ac:dyDescent="0.35">
      <c r="A294" s="6" t="s">
        <v>301</v>
      </c>
      <c r="B294" s="15">
        <v>45120</v>
      </c>
      <c r="C294" s="6" t="s">
        <v>523</v>
      </c>
      <c r="D294" s="6" t="s">
        <v>612</v>
      </c>
      <c r="E294" s="6" t="s">
        <v>665</v>
      </c>
      <c r="F294" s="6">
        <v>3</v>
      </c>
      <c r="G294" s="6">
        <v>199</v>
      </c>
      <c r="H294" s="6">
        <v>0</v>
      </c>
      <c r="I294" s="6">
        <v>597</v>
      </c>
      <c r="J294" s="6" t="str">
        <f>IF(I294&gt;formulas!$B$5,"yes","no")</f>
        <v>no</v>
      </c>
      <c r="K294" s="6" t="str">
        <f t="shared" si="12"/>
        <v>no</v>
      </c>
      <c r="L294" s="6" t="str">
        <f>IF(COUNTIF('raw data'!$B$2:$B$501,B294)&gt;1,"Yes","No")</f>
        <v>No</v>
      </c>
      <c r="M294" t="str">
        <f t="shared" si="13"/>
        <v>no</v>
      </c>
      <c r="N294" t="str">
        <f t="shared" si="14"/>
        <v>No</v>
      </c>
      <c r="O294">
        <f>SUMIF('raw data'!B$2:B$501,B294,'raw data'!I$2:I$501)</f>
        <v>597</v>
      </c>
      <c r="P294" t="str">
        <f>IF(OR(I294&lt;Visualization!$B$6,I294&gt;Visualization!$B$7),"Outlier","Normal")</f>
        <v>Outlier</v>
      </c>
    </row>
    <row r="295" spans="1:16" x14ac:dyDescent="0.35">
      <c r="A295" s="6" t="s">
        <v>302</v>
      </c>
      <c r="B295" s="15">
        <v>45236</v>
      </c>
      <c r="C295" s="6" t="s">
        <v>511</v>
      </c>
      <c r="D295" s="6" t="s">
        <v>610</v>
      </c>
      <c r="E295" s="6" t="s">
        <v>666</v>
      </c>
      <c r="F295" s="6">
        <v>2</v>
      </c>
      <c r="G295" s="6">
        <v>199</v>
      </c>
      <c r="H295" s="6">
        <v>20</v>
      </c>
      <c r="I295" s="6">
        <v>318.39999999999998</v>
      </c>
      <c r="J295" s="6" t="str">
        <f>IF(I295&gt;formulas!$B$5,"yes","no")</f>
        <v>no</v>
      </c>
      <c r="K295" s="6" t="str">
        <f t="shared" si="12"/>
        <v>yes</v>
      </c>
      <c r="L295" s="6" t="str">
        <f>IF(COUNTIF('raw data'!$B$2:$B$501,B295)&gt;1,"Yes","No")</f>
        <v>Yes</v>
      </c>
      <c r="M295" t="str">
        <f t="shared" si="13"/>
        <v>yes</v>
      </c>
      <c r="N295" t="str">
        <f t="shared" si="14"/>
        <v>No</v>
      </c>
      <c r="O295">
        <f>SUMIF('raw data'!B$2:B$501,B295,'raw data'!I$2:I$501)</f>
        <v>1813.4</v>
      </c>
      <c r="P295" t="str">
        <f>IF(OR(I295&lt;Visualization!$B$6,I295&gt;Visualization!$B$7),"Outlier","Normal")</f>
        <v>Outlier</v>
      </c>
    </row>
    <row r="296" spans="1:16" x14ac:dyDescent="0.35">
      <c r="A296" s="6" t="s">
        <v>303</v>
      </c>
      <c r="B296" s="15">
        <v>45089</v>
      </c>
      <c r="C296" s="6" t="s">
        <v>537</v>
      </c>
      <c r="D296" s="6" t="s">
        <v>611</v>
      </c>
      <c r="E296" s="6" t="s">
        <v>668</v>
      </c>
      <c r="F296" s="6">
        <v>2</v>
      </c>
      <c r="G296" s="6">
        <v>199</v>
      </c>
      <c r="H296" s="6">
        <v>5</v>
      </c>
      <c r="I296" s="6">
        <v>378.1</v>
      </c>
      <c r="J296" s="6" t="str">
        <f>IF(I296&gt;formulas!$B$5,"yes","no")</f>
        <v>no</v>
      </c>
      <c r="K296" s="6" t="str">
        <f t="shared" si="12"/>
        <v>yes</v>
      </c>
      <c r="L296" s="6" t="str">
        <f>IF(COUNTIF('raw data'!$B$2:$B$501,B296)&gt;1,"Yes","No")</f>
        <v>Yes</v>
      </c>
      <c r="M296" t="str">
        <f t="shared" si="13"/>
        <v>no</v>
      </c>
      <c r="N296" t="str">
        <f t="shared" si="14"/>
        <v>No</v>
      </c>
      <c r="O296">
        <f>SUMIF('raw data'!B$2:B$501,B296,'raw data'!I$2:I$501)</f>
        <v>6075.25</v>
      </c>
      <c r="P296" t="str">
        <f>IF(OR(I296&lt;Visualization!$B$6,I296&gt;Visualization!$B$7),"Outlier","Normal")</f>
        <v>Outlier</v>
      </c>
    </row>
    <row r="297" spans="1:16" x14ac:dyDescent="0.35">
      <c r="A297" s="6" t="s">
        <v>304</v>
      </c>
      <c r="B297" s="15">
        <v>45134</v>
      </c>
      <c r="C297" s="6" t="s">
        <v>510</v>
      </c>
      <c r="D297" s="6" t="s">
        <v>612</v>
      </c>
      <c r="E297" s="6" t="s">
        <v>621</v>
      </c>
      <c r="F297" s="6">
        <v>3</v>
      </c>
      <c r="G297" s="6">
        <v>299</v>
      </c>
      <c r="H297" s="6">
        <v>20</v>
      </c>
      <c r="I297" s="6">
        <v>717.6</v>
      </c>
      <c r="J297" s="6" t="str">
        <f>IF(I297&gt;formulas!$B$5,"yes","no")</f>
        <v>no</v>
      </c>
      <c r="K297" s="6" t="str">
        <f t="shared" si="12"/>
        <v>yes</v>
      </c>
      <c r="L297" s="6" t="str">
        <f>IF(COUNTIF('raw data'!$B$2:$B$501,B297)&gt;1,"Yes","No")</f>
        <v>Yes</v>
      </c>
      <c r="M297" t="str">
        <f t="shared" si="13"/>
        <v>yes</v>
      </c>
      <c r="N297" t="str">
        <f t="shared" si="14"/>
        <v>No</v>
      </c>
      <c r="O297">
        <f>SUMIF('raw data'!B$2:B$501,B297,'raw data'!I$2:I$501)</f>
        <v>1225.9000000000001</v>
      </c>
      <c r="P297" t="str">
        <f>IF(OR(I297&lt;Visualization!$B$6,I297&gt;Visualization!$B$7),"Outlier","Normal")</f>
        <v>Outlier</v>
      </c>
    </row>
    <row r="298" spans="1:16" x14ac:dyDescent="0.35">
      <c r="A298" s="6" t="s">
        <v>305</v>
      </c>
      <c r="B298" s="15">
        <v>45095</v>
      </c>
      <c r="C298" s="6" t="s">
        <v>529</v>
      </c>
      <c r="D298" s="6" t="s">
        <v>609</v>
      </c>
      <c r="E298" s="6" t="s">
        <v>709</v>
      </c>
      <c r="F298" s="6">
        <v>1</v>
      </c>
      <c r="G298" s="6">
        <v>999</v>
      </c>
      <c r="H298" s="6">
        <v>20</v>
      </c>
      <c r="I298" s="6">
        <v>799.2</v>
      </c>
      <c r="J298" s="6" t="str">
        <f>IF(I298&gt;formulas!$B$5,"yes","no")</f>
        <v>no</v>
      </c>
      <c r="K298" s="6" t="str">
        <f t="shared" si="12"/>
        <v>yes</v>
      </c>
      <c r="L298" s="6" t="str">
        <f>IF(COUNTIF('raw data'!$B$2:$B$501,B298)&gt;1,"Yes","No")</f>
        <v>No</v>
      </c>
      <c r="M298" t="str">
        <f t="shared" si="13"/>
        <v>yes</v>
      </c>
      <c r="N298" t="str">
        <f t="shared" si="14"/>
        <v>No</v>
      </c>
      <c r="O298">
        <f>SUMIF('raw data'!B$2:B$501,B298,'raw data'!I$2:I$501)</f>
        <v>799.2</v>
      </c>
      <c r="P298" t="str">
        <f>IF(OR(I298&lt;Visualization!$B$6,I298&gt;Visualization!$B$7),"Outlier","Normal")</f>
        <v>Outlier</v>
      </c>
    </row>
    <row r="299" spans="1:16" x14ac:dyDescent="0.35">
      <c r="A299" s="6" t="s">
        <v>306</v>
      </c>
      <c r="B299" s="15">
        <v>45087</v>
      </c>
      <c r="C299" s="6" t="s">
        <v>589</v>
      </c>
      <c r="D299" s="6" t="s">
        <v>611</v>
      </c>
      <c r="E299" s="6" t="s">
        <v>687</v>
      </c>
      <c r="F299" s="6">
        <v>4</v>
      </c>
      <c r="G299" s="6">
        <v>1999</v>
      </c>
      <c r="H299" s="6"/>
      <c r="I299" s="6">
        <v>7996</v>
      </c>
      <c r="J299" s="6" t="str">
        <f>IF(I299&gt;formulas!$B$5,"yes","no")</f>
        <v>yes</v>
      </c>
      <c r="K299" s="6" t="str">
        <f t="shared" si="12"/>
        <v>no</v>
      </c>
      <c r="L299" s="6" t="str">
        <f>IF(COUNTIF('raw data'!$B$2:$B$501,B299)&gt;1,"Yes","No")</f>
        <v>Yes</v>
      </c>
      <c r="M299" t="str">
        <f t="shared" si="13"/>
        <v>no</v>
      </c>
      <c r="N299" t="str">
        <f t="shared" si="14"/>
        <v>Yes</v>
      </c>
      <c r="O299">
        <f>SUMIF('raw data'!B$2:B$501,B299,'raw data'!I$2:I$501)</f>
        <v>9893</v>
      </c>
      <c r="P299" t="str">
        <f>IF(OR(I299&lt;Visualization!$B$6,I299&gt;Visualization!$B$7),"Outlier","Normal")</f>
        <v>Outlier</v>
      </c>
    </row>
    <row r="300" spans="1:16" x14ac:dyDescent="0.35">
      <c r="A300" s="6" t="s">
        <v>307</v>
      </c>
      <c r="B300" s="15">
        <v>44994</v>
      </c>
      <c r="C300" s="6" t="s">
        <v>575</v>
      </c>
      <c r="D300" s="6" t="s">
        <v>612</v>
      </c>
      <c r="E300" s="6" t="s">
        <v>623</v>
      </c>
      <c r="F300" s="6">
        <v>4</v>
      </c>
      <c r="G300" s="6">
        <v>1499</v>
      </c>
      <c r="H300" s="6">
        <v>0</v>
      </c>
      <c r="I300" s="6">
        <v>5996</v>
      </c>
      <c r="J300" s="6" t="str">
        <f>IF(I300&gt;formulas!$B$5,"yes","no")</f>
        <v>yes</v>
      </c>
      <c r="K300" s="6" t="str">
        <f t="shared" si="12"/>
        <v>no</v>
      </c>
      <c r="L300" s="6" t="str">
        <f>IF(COUNTIF('raw data'!$B$2:$B$501,B300)&gt;1,"Yes","No")</f>
        <v>No</v>
      </c>
      <c r="M300" t="str">
        <f t="shared" si="13"/>
        <v>no</v>
      </c>
      <c r="N300" t="str">
        <f t="shared" si="14"/>
        <v>No</v>
      </c>
      <c r="O300">
        <f>SUMIF('raw data'!B$2:B$501,B300,'raw data'!I$2:I$501)</f>
        <v>5996</v>
      </c>
      <c r="P300" t="str">
        <f>IF(OR(I300&lt;Visualization!$B$6,I300&gt;Visualization!$B$7),"Outlier","Normal")</f>
        <v>Outlier</v>
      </c>
    </row>
    <row r="301" spans="1:16" x14ac:dyDescent="0.35">
      <c r="A301" s="6" t="s">
        <v>308</v>
      </c>
      <c r="B301" s="15">
        <v>45215</v>
      </c>
      <c r="C301" s="6" t="s">
        <v>536</v>
      </c>
      <c r="D301" s="6" t="s">
        <v>609</v>
      </c>
      <c r="E301" s="6" t="s">
        <v>632</v>
      </c>
      <c r="F301" s="6">
        <v>2</v>
      </c>
      <c r="G301" s="6">
        <v>499</v>
      </c>
      <c r="H301" s="6">
        <v>0</v>
      </c>
      <c r="I301" s="6">
        <v>998</v>
      </c>
      <c r="J301" s="6" t="str">
        <f>IF(I301&gt;formulas!$B$5,"yes","no")</f>
        <v>no</v>
      </c>
      <c r="K301" s="6" t="str">
        <f t="shared" si="12"/>
        <v>no</v>
      </c>
      <c r="L301" s="6" t="str">
        <f>IF(COUNTIF('raw data'!$B$2:$B$501,B301)&gt;1,"Yes","No")</f>
        <v>Yes</v>
      </c>
      <c r="M301" t="str">
        <f t="shared" si="13"/>
        <v>no</v>
      </c>
      <c r="N301" t="str">
        <f t="shared" si="14"/>
        <v>No</v>
      </c>
      <c r="O301">
        <f>SUMIF('raw data'!B$2:B$501,B301,'raw data'!I$2:I$501)</f>
        <v>2878.8500000000004</v>
      </c>
      <c r="P301" t="str">
        <f>IF(OR(I301&lt;Visualization!$B$6,I301&gt;Visualization!$B$7),"Outlier","Normal")</f>
        <v>Outlier</v>
      </c>
    </row>
    <row r="302" spans="1:16" x14ac:dyDescent="0.35">
      <c r="A302" s="6" t="s">
        <v>309</v>
      </c>
      <c r="B302" s="15">
        <v>45203</v>
      </c>
      <c r="C302" s="6" t="s">
        <v>537</v>
      </c>
      <c r="D302" s="6" t="s">
        <v>611</v>
      </c>
      <c r="E302" s="6" t="s">
        <v>624</v>
      </c>
      <c r="F302" s="6"/>
      <c r="G302" s="6">
        <v>1999</v>
      </c>
      <c r="H302" s="6">
        <v>0</v>
      </c>
      <c r="I302" s="6"/>
      <c r="J302" s="6" t="str">
        <f>IF(I302&gt;formulas!$B$5,"yes","no")</f>
        <v>no</v>
      </c>
      <c r="K302" s="6" t="str">
        <f t="shared" si="12"/>
        <v>no</v>
      </c>
      <c r="L302" s="6" t="str">
        <f>IF(COUNTIF('raw data'!$B$2:$B$501,B302)&gt;1,"Yes","No")</f>
        <v>Yes</v>
      </c>
      <c r="M302" t="str">
        <f t="shared" si="13"/>
        <v>no</v>
      </c>
      <c r="N302" t="str">
        <f t="shared" si="14"/>
        <v>No</v>
      </c>
      <c r="O302">
        <f>SUMIF('raw data'!B$2:B$501,B302,'raw data'!I$2:I$501)</f>
        <v>3598.2</v>
      </c>
      <c r="P302" t="str">
        <f>IF(OR(I302&lt;Visualization!$B$6,I302&gt;Visualization!$B$7),"Outlier","Normal")</f>
        <v>Normal</v>
      </c>
    </row>
    <row r="303" spans="1:16" x14ac:dyDescent="0.35">
      <c r="A303" s="6" t="s">
        <v>310</v>
      </c>
      <c r="B303" s="15">
        <v>45230</v>
      </c>
      <c r="C303" s="6" t="s">
        <v>587</v>
      </c>
      <c r="D303" s="6" t="s">
        <v>611</v>
      </c>
      <c r="E303" s="6" t="s">
        <v>692</v>
      </c>
      <c r="F303" s="6">
        <v>4</v>
      </c>
      <c r="G303" s="6">
        <v>1499</v>
      </c>
      <c r="H303" s="6"/>
      <c r="I303" s="6">
        <v>5996</v>
      </c>
      <c r="J303" s="6" t="str">
        <f>IF(I303&gt;formulas!$B$5,"yes","no")</f>
        <v>yes</v>
      </c>
      <c r="K303" s="6" t="str">
        <f t="shared" si="12"/>
        <v>no</v>
      </c>
      <c r="L303" s="6" t="str">
        <f>IF(COUNTIF('raw data'!$B$2:$B$501,B303)&gt;1,"Yes","No")</f>
        <v>Yes</v>
      </c>
      <c r="M303" t="str">
        <f t="shared" si="13"/>
        <v>no</v>
      </c>
      <c r="N303" t="str">
        <f t="shared" si="14"/>
        <v>Yes</v>
      </c>
      <c r="O303">
        <f>SUMIF('raw data'!B$2:B$501,B303,'raw data'!I$2:I$501)</f>
        <v>14386.9</v>
      </c>
      <c r="P303" t="str">
        <f>IF(OR(I303&lt;Visualization!$B$6,I303&gt;Visualization!$B$7),"Outlier","Normal")</f>
        <v>Outlier</v>
      </c>
    </row>
    <row r="304" spans="1:16" x14ac:dyDescent="0.35">
      <c r="A304" s="6" t="s">
        <v>311</v>
      </c>
      <c r="B304" s="15">
        <v>45061</v>
      </c>
      <c r="C304" s="6" t="s">
        <v>591</v>
      </c>
      <c r="D304" s="6" t="s">
        <v>612</v>
      </c>
      <c r="E304" s="6" t="s">
        <v>626</v>
      </c>
      <c r="F304" s="6">
        <v>3</v>
      </c>
      <c r="G304" s="6">
        <v>499</v>
      </c>
      <c r="H304" s="6">
        <v>15</v>
      </c>
      <c r="I304" s="6">
        <v>1272.45</v>
      </c>
      <c r="J304" s="6" t="str">
        <f>IF(I304&gt;formulas!$B$5,"yes","no")</f>
        <v>no</v>
      </c>
      <c r="K304" s="6" t="str">
        <f t="shared" si="12"/>
        <v>yes</v>
      </c>
      <c r="L304" s="6" t="str">
        <f>IF(COUNTIF('raw data'!$B$2:$B$501,B304)&gt;1,"Yes","No")</f>
        <v>Yes</v>
      </c>
      <c r="M304" t="str">
        <f t="shared" si="13"/>
        <v>no</v>
      </c>
      <c r="N304" t="str">
        <f t="shared" si="14"/>
        <v>No</v>
      </c>
      <c r="O304">
        <f>SUMIF('raw data'!B$2:B$501,B304,'raw data'!I$2:I$501)</f>
        <v>10466.950000000001</v>
      </c>
      <c r="P304" t="str">
        <f>IF(OR(I304&lt;Visualization!$B$6,I304&gt;Visualization!$B$7),"Outlier","Normal")</f>
        <v>Outlier</v>
      </c>
    </row>
    <row r="305" spans="1:16" x14ac:dyDescent="0.35">
      <c r="A305" s="6" t="s">
        <v>312</v>
      </c>
      <c r="B305" s="15">
        <v>45121</v>
      </c>
      <c r="C305" s="6" t="s">
        <v>516</v>
      </c>
      <c r="D305" s="6" t="s">
        <v>613</v>
      </c>
      <c r="E305" s="6" t="s">
        <v>671</v>
      </c>
      <c r="F305" s="6">
        <v>1</v>
      </c>
      <c r="G305" s="6">
        <v>299</v>
      </c>
      <c r="H305" s="6">
        <v>20</v>
      </c>
      <c r="I305" s="6">
        <v>239.2</v>
      </c>
      <c r="J305" s="6" t="str">
        <f>IF(I305&gt;formulas!$B$5,"yes","no")</f>
        <v>no</v>
      </c>
      <c r="K305" s="6" t="str">
        <f t="shared" si="12"/>
        <v>yes</v>
      </c>
      <c r="L305" s="6" t="str">
        <f>IF(COUNTIF('raw data'!$B$2:$B$501,B305)&gt;1,"Yes","No")</f>
        <v>No</v>
      </c>
      <c r="M305" t="str">
        <f t="shared" si="13"/>
        <v>yes</v>
      </c>
      <c r="N305" t="str">
        <f t="shared" si="14"/>
        <v>No</v>
      </c>
      <c r="O305">
        <f>SUMIF('raw data'!B$2:B$501,B305,'raw data'!I$2:I$501)</f>
        <v>239.2</v>
      </c>
      <c r="P305" t="str">
        <f>IF(OR(I305&lt;Visualization!$B$6,I305&gt;Visualization!$B$7),"Outlier","Normal")</f>
        <v>Outlier</v>
      </c>
    </row>
    <row r="306" spans="1:16" x14ac:dyDescent="0.35">
      <c r="A306" s="6" t="s">
        <v>313</v>
      </c>
      <c r="B306" s="15">
        <v>45054</v>
      </c>
      <c r="C306" s="6" t="s">
        <v>515</v>
      </c>
      <c r="D306" s="6" t="s">
        <v>611</v>
      </c>
      <c r="E306" s="6" t="s">
        <v>632</v>
      </c>
      <c r="F306" s="6">
        <v>2</v>
      </c>
      <c r="G306" s="6">
        <v>199</v>
      </c>
      <c r="H306" s="6"/>
      <c r="I306" s="6">
        <v>398</v>
      </c>
      <c r="J306" s="6" t="str">
        <f>IF(I306&gt;formulas!$B$5,"yes","no")</f>
        <v>no</v>
      </c>
      <c r="K306" s="6" t="str">
        <f t="shared" si="12"/>
        <v>no</v>
      </c>
      <c r="L306" s="6" t="str">
        <f>IF(COUNTIF('raw data'!$B$2:$B$501,B306)&gt;1,"Yes","No")</f>
        <v>Yes</v>
      </c>
      <c r="M306" t="str">
        <f t="shared" si="13"/>
        <v>no</v>
      </c>
      <c r="N306" t="str">
        <f t="shared" si="14"/>
        <v>No</v>
      </c>
      <c r="O306">
        <f>SUMIF('raw data'!B$2:B$501,B306,'raw data'!I$2:I$501)</f>
        <v>1897</v>
      </c>
      <c r="P306" t="str">
        <f>IF(OR(I306&lt;Visualization!$B$6,I306&gt;Visualization!$B$7),"Outlier","Normal")</f>
        <v>Outlier</v>
      </c>
    </row>
    <row r="307" spans="1:16" x14ac:dyDescent="0.35">
      <c r="A307" s="6" t="s">
        <v>314</v>
      </c>
      <c r="B307" s="15">
        <v>44959</v>
      </c>
      <c r="C307" s="6" t="s">
        <v>523</v>
      </c>
      <c r="D307" s="6" t="s">
        <v>611</v>
      </c>
      <c r="E307" s="6" t="s">
        <v>703</v>
      </c>
      <c r="F307" s="6">
        <v>2</v>
      </c>
      <c r="G307" s="6">
        <v>299</v>
      </c>
      <c r="H307" s="6">
        <v>10</v>
      </c>
      <c r="I307" s="6">
        <v>538.20000000000005</v>
      </c>
      <c r="J307" s="6" t="str">
        <f>IF(I307&gt;formulas!$B$5,"yes","no")</f>
        <v>no</v>
      </c>
      <c r="K307" s="6" t="str">
        <f t="shared" si="12"/>
        <v>yes</v>
      </c>
      <c r="L307" s="6" t="str">
        <f>IF(COUNTIF('raw data'!$B$2:$B$501,B307)&gt;1,"Yes","No")</f>
        <v>Yes</v>
      </c>
      <c r="M307" t="str">
        <f t="shared" si="13"/>
        <v>no</v>
      </c>
      <c r="N307" t="str">
        <f t="shared" si="14"/>
        <v>No</v>
      </c>
      <c r="O307">
        <f>SUMIF('raw data'!B$2:B$501,B307,'raw data'!I$2:I$501)</f>
        <v>2936.6000000000004</v>
      </c>
      <c r="P307" t="str">
        <f>IF(OR(I307&lt;Visualization!$B$6,I307&gt;Visualization!$B$7),"Outlier","Normal")</f>
        <v>Outlier</v>
      </c>
    </row>
    <row r="308" spans="1:16" x14ac:dyDescent="0.35">
      <c r="A308" s="6" t="s">
        <v>315</v>
      </c>
      <c r="B308" s="15">
        <v>45102</v>
      </c>
      <c r="C308" s="6" t="s">
        <v>587</v>
      </c>
      <c r="D308" s="6" t="s">
        <v>609</v>
      </c>
      <c r="E308" s="6" t="s">
        <v>667</v>
      </c>
      <c r="F308" s="6">
        <v>1</v>
      </c>
      <c r="G308" s="6">
        <v>299</v>
      </c>
      <c r="H308" s="6">
        <v>5</v>
      </c>
      <c r="I308" s="6">
        <v>284.05</v>
      </c>
      <c r="J308" s="6" t="str">
        <f>IF(I308&gt;formulas!$B$5,"yes","no")</f>
        <v>no</v>
      </c>
      <c r="K308" s="6" t="str">
        <f t="shared" si="12"/>
        <v>yes</v>
      </c>
      <c r="L308" s="6" t="str">
        <f>IF(COUNTIF('raw data'!$B$2:$B$501,B308)&gt;1,"Yes","No")</f>
        <v>Yes</v>
      </c>
      <c r="M308" t="str">
        <f t="shared" si="13"/>
        <v>no</v>
      </c>
      <c r="N308" t="str">
        <f t="shared" si="14"/>
        <v>No</v>
      </c>
      <c r="O308">
        <f>SUMIF('raw data'!B$2:B$501,B308,'raw data'!I$2:I$501)</f>
        <v>1633.1499999999999</v>
      </c>
      <c r="P308" t="str">
        <f>IF(OR(I308&lt;Visualization!$B$6,I308&gt;Visualization!$B$7),"Outlier","Normal")</f>
        <v>Outlier</v>
      </c>
    </row>
    <row r="309" spans="1:16" x14ac:dyDescent="0.35">
      <c r="A309" s="6" t="s">
        <v>316</v>
      </c>
      <c r="B309" s="15">
        <v>44948</v>
      </c>
      <c r="C309" s="6" t="s">
        <v>578</v>
      </c>
      <c r="D309" s="6" t="s">
        <v>610</v>
      </c>
      <c r="E309" s="6" t="s">
        <v>694</v>
      </c>
      <c r="F309" s="6">
        <v>1</v>
      </c>
      <c r="G309" s="6">
        <v>1999</v>
      </c>
      <c r="H309" s="6">
        <v>15</v>
      </c>
      <c r="I309" s="6">
        <v>1699.15</v>
      </c>
      <c r="J309" s="6" t="str">
        <f>IF(I309&gt;formulas!$B$5,"yes","no")</f>
        <v>yes</v>
      </c>
      <c r="K309" s="6" t="str">
        <f t="shared" si="12"/>
        <v>yes</v>
      </c>
      <c r="L309" s="6" t="str">
        <f>IF(COUNTIF('raw data'!$B$2:$B$501,B309)&gt;1,"Yes","No")</f>
        <v>Yes</v>
      </c>
      <c r="M309" t="str">
        <f t="shared" si="13"/>
        <v>no</v>
      </c>
      <c r="N309" t="str">
        <f t="shared" si="14"/>
        <v>Yes</v>
      </c>
      <c r="O309">
        <f>SUMIF('raw data'!B$2:B$501,B309,'raw data'!I$2:I$501)</f>
        <v>1699.15</v>
      </c>
      <c r="P309" t="str">
        <f>IF(OR(I309&lt;Visualization!$B$6,I309&gt;Visualization!$B$7),"Outlier","Normal")</f>
        <v>Outlier</v>
      </c>
    </row>
    <row r="310" spans="1:16" x14ac:dyDescent="0.35">
      <c r="A310" s="6" t="s">
        <v>317</v>
      </c>
      <c r="B310" s="15">
        <v>45164</v>
      </c>
      <c r="C310" s="6" t="s">
        <v>603</v>
      </c>
      <c r="D310" s="6" t="s">
        <v>612</v>
      </c>
      <c r="E310" s="6" t="s">
        <v>692</v>
      </c>
      <c r="F310" s="6">
        <v>4</v>
      </c>
      <c r="G310" s="6"/>
      <c r="H310" s="6">
        <v>10</v>
      </c>
      <c r="I310" s="6"/>
      <c r="J310" s="6" t="str">
        <f>IF(I310&gt;formulas!$B$5,"yes","no")</f>
        <v>no</v>
      </c>
      <c r="K310" s="6" t="str">
        <f t="shared" si="12"/>
        <v>yes</v>
      </c>
      <c r="L310" s="6" t="str">
        <f>IF(COUNTIF('raw data'!$B$2:$B$501,B310)&gt;1,"Yes","No")</f>
        <v>Yes</v>
      </c>
      <c r="M310" t="str">
        <f t="shared" si="13"/>
        <v>no</v>
      </c>
      <c r="N310" t="str">
        <f t="shared" si="14"/>
        <v>No</v>
      </c>
      <c r="O310">
        <f>SUMIF('raw data'!B$2:B$501,B310,'raw data'!I$2:I$501)</f>
        <v>0</v>
      </c>
      <c r="P310" t="str">
        <f>IF(OR(I310&lt;Visualization!$B$6,I310&gt;Visualization!$B$7),"Outlier","Normal")</f>
        <v>Normal</v>
      </c>
    </row>
    <row r="311" spans="1:16" x14ac:dyDescent="0.35">
      <c r="A311" s="6" t="s">
        <v>318</v>
      </c>
      <c r="B311" s="15">
        <v>45084</v>
      </c>
      <c r="C311" s="6" t="s">
        <v>603</v>
      </c>
      <c r="D311" s="6" t="s">
        <v>612</v>
      </c>
      <c r="E311" s="6" t="s">
        <v>650</v>
      </c>
      <c r="F311" s="6">
        <v>1</v>
      </c>
      <c r="G311" s="6">
        <v>1999</v>
      </c>
      <c r="H311" s="6">
        <v>20</v>
      </c>
      <c r="I311" s="6">
        <v>1599.2</v>
      </c>
      <c r="J311" s="6" t="str">
        <f>IF(I311&gt;formulas!$B$5,"yes","no")</f>
        <v>yes</v>
      </c>
      <c r="K311" s="6" t="str">
        <f t="shared" si="12"/>
        <v>yes</v>
      </c>
      <c r="L311" s="6" t="str">
        <f>IF(COUNTIF('raw data'!$B$2:$B$501,B311)&gt;1,"Yes","No")</f>
        <v>Yes</v>
      </c>
      <c r="M311" t="str">
        <f t="shared" si="13"/>
        <v>yes</v>
      </c>
      <c r="N311" t="str">
        <f t="shared" si="14"/>
        <v>Yes</v>
      </c>
      <c r="O311">
        <f>SUMIF('raw data'!B$2:B$501,B311,'raw data'!I$2:I$501)</f>
        <v>3298.3500000000004</v>
      </c>
      <c r="P311" t="str">
        <f>IF(OR(I311&lt;Visualization!$B$6,I311&gt;Visualization!$B$7),"Outlier","Normal")</f>
        <v>Outlier</v>
      </c>
    </row>
    <row r="312" spans="1:16" x14ac:dyDescent="0.35">
      <c r="A312" s="6" t="s">
        <v>319</v>
      </c>
      <c r="B312" s="15">
        <v>44964</v>
      </c>
      <c r="C312" s="6" t="s">
        <v>574</v>
      </c>
      <c r="D312" s="6" t="s">
        <v>613</v>
      </c>
      <c r="E312" s="6" t="s">
        <v>691</v>
      </c>
      <c r="F312" s="6">
        <v>3</v>
      </c>
      <c r="G312" s="6">
        <v>999</v>
      </c>
      <c r="H312" s="6">
        <v>0</v>
      </c>
      <c r="I312" s="6">
        <v>2997</v>
      </c>
      <c r="J312" s="6" t="str">
        <f>IF(I312&gt;formulas!$B$5,"yes","no")</f>
        <v>yes</v>
      </c>
      <c r="K312" s="6" t="str">
        <f t="shared" si="12"/>
        <v>no</v>
      </c>
      <c r="L312" s="6" t="str">
        <f>IF(COUNTIF('raw data'!$B$2:$B$501,B312)&gt;1,"Yes","No")</f>
        <v>No</v>
      </c>
      <c r="M312" t="str">
        <f t="shared" si="13"/>
        <v>no</v>
      </c>
      <c r="N312" t="str">
        <f t="shared" si="14"/>
        <v>No</v>
      </c>
      <c r="O312">
        <f>SUMIF('raw data'!B$2:B$501,B312,'raw data'!I$2:I$501)</f>
        <v>2997</v>
      </c>
      <c r="P312" t="str">
        <f>IF(OR(I312&lt;Visualization!$B$6,I312&gt;Visualization!$B$7),"Outlier","Normal")</f>
        <v>Outlier</v>
      </c>
    </row>
    <row r="313" spans="1:16" x14ac:dyDescent="0.35">
      <c r="A313" s="6" t="s">
        <v>320</v>
      </c>
      <c r="B313" s="15">
        <v>45156</v>
      </c>
      <c r="C313" s="6" t="s">
        <v>557</v>
      </c>
      <c r="D313" s="6" t="s">
        <v>613</v>
      </c>
      <c r="E313" s="6" t="s">
        <v>665</v>
      </c>
      <c r="F313" s="6">
        <v>5</v>
      </c>
      <c r="G313" s="6">
        <v>499</v>
      </c>
      <c r="H313" s="6">
        <v>20</v>
      </c>
      <c r="I313" s="6">
        <v>1996</v>
      </c>
      <c r="J313" s="6" t="str">
        <f>IF(I313&gt;formulas!$B$5,"yes","no")</f>
        <v>yes</v>
      </c>
      <c r="K313" s="6" t="str">
        <f t="shared" si="12"/>
        <v>yes</v>
      </c>
      <c r="L313" s="6" t="str">
        <f>IF(COUNTIF('raw data'!$B$2:$B$501,B313)&gt;1,"Yes","No")</f>
        <v>No</v>
      </c>
      <c r="M313" t="str">
        <f t="shared" si="13"/>
        <v>yes</v>
      </c>
      <c r="N313" t="str">
        <f t="shared" si="14"/>
        <v>No</v>
      </c>
      <c r="O313">
        <f>SUMIF('raw data'!B$2:B$501,B313,'raw data'!I$2:I$501)</f>
        <v>1996</v>
      </c>
      <c r="P313" t="str">
        <f>IF(OR(I313&lt;Visualization!$B$6,I313&gt;Visualization!$B$7),"Outlier","Normal")</f>
        <v>Outlier</v>
      </c>
    </row>
    <row r="314" spans="1:16" x14ac:dyDescent="0.35">
      <c r="A314" s="6" t="s">
        <v>321</v>
      </c>
      <c r="B314" s="15">
        <v>45291</v>
      </c>
      <c r="C314" s="6" t="s">
        <v>596</v>
      </c>
      <c r="D314" s="6" t="s">
        <v>612</v>
      </c>
      <c r="E314" s="6" t="s">
        <v>652</v>
      </c>
      <c r="F314" s="6">
        <v>4</v>
      </c>
      <c r="G314" s="6">
        <v>199</v>
      </c>
      <c r="H314" s="6"/>
      <c r="I314" s="6">
        <v>796</v>
      </c>
      <c r="J314" s="6" t="str">
        <f>IF(I314&gt;formulas!$B$5,"yes","no")</f>
        <v>no</v>
      </c>
      <c r="K314" s="6" t="str">
        <f t="shared" si="12"/>
        <v>no</v>
      </c>
      <c r="L314" s="6" t="str">
        <f>IF(COUNTIF('raw data'!$B$2:$B$501,B314)&gt;1,"Yes","No")</f>
        <v>Yes</v>
      </c>
      <c r="M314" t="str">
        <f t="shared" si="13"/>
        <v>no</v>
      </c>
      <c r="N314" t="str">
        <f t="shared" si="14"/>
        <v>No</v>
      </c>
      <c r="O314">
        <f>SUMIF('raw data'!B$2:B$501,B314,'raw data'!I$2:I$501)</f>
        <v>796</v>
      </c>
      <c r="P314" t="str">
        <f>IF(OR(I314&lt;Visualization!$B$6,I314&gt;Visualization!$B$7),"Outlier","Normal")</f>
        <v>Outlier</v>
      </c>
    </row>
    <row r="315" spans="1:16" x14ac:dyDescent="0.35">
      <c r="A315" s="6" t="s">
        <v>322</v>
      </c>
      <c r="B315" s="15">
        <v>44977</v>
      </c>
      <c r="C315" s="6" t="s">
        <v>552</v>
      </c>
      <c r="D315" s="6" t="s">
        <v>613</v>
      </c>
      <c r="E315" s="6" t="s">
        <v>624</v>
      </c>
      <c r="F315" s="6">
        <v>1</v>
      </c>
      <c r="G315" s="6">
        <v>1999</v>
      </c>
      <c r="H315" s="6">
        <v>5</v>
      </c>
      <c r="I315" s="6">
        <v>1899.05</v>
      </c>
      <c r="J315" s="6" t="str">
        <f>IF(I315&gt;formulas!$B$5,"yes","no")</f>
        <v>yes</v>
      </c>
      <c r="K315" s="6" t="str">
        <f t="shared" si="12"/>
        <v>yes</v>
      </c>
      <c r="L315" s="6" t="str">
        <f>IF(COUNTIF('raw data'!$B$2:$B$501,B315)&gt;1,"Yes","No")</f>
        <v>Yes</v>
      </c>
      <c r="M315" t="str">
        <f t="shared" si="13"/>
        <v>no</v>
      </c>
      <c r="N315" t="str">
        <f t="shared" si="14"/>
        <v>Yes</v>
      </c>
      <c r="O315">
        <f>SUMIF('raw data'!B$2:B$501,B315,'raw data'!I$2:I$501)</f>
        <v>6245.55</v>
      </c>
      <c r="P315" t="str">
        <f>IF(OR(I315&lt;Visualization!$B$6,I315&gt;Visualization!$B$7),"Outlier","Normal")</f>
        <v>Outlier</v>
      </c>
    </row>
    <row r="316" spans="1:16" x14ac:dyDescent="0.35">
      <c r="A316" s="6" t="s">
        <v>323</v>
      </c>
      <c r="B316" s="15">
        <v>45190</v>
      </c>
      <c r="C316" s="6" t="s">
        <v>604</v>
      </c>
      <c r="D316" s="6" t="s">
        <v>609</v>
      </c>
      <c r="E316" s="6" t="s">
        <v>672</v>
      </c>
      <c r="F316" s="6">
        <v>4</v>
      </c>
      <c r="G316" s="6">
        <v>499</v>
      </c>
      <c r="H316" s="6"/>
      <c r="I316" s="6">
        <v>1996</v>
      </c>
      <c r="J316" s="6" t="str">
        <f>IF(I316&gt;formulas!$B$5,"yes","no")</f>
        <v>yes</v>
      </c>
      <c r="K316" s="6" t="str">
        <f t="shared" si="12"/>
        <v>no</v>
      </c>
      <c r="L316" s="6" t="str">
        <f>IF(COUNTIF('raw data'!$B$2:$B$501,B316)&gt;1,"Yes","No")</f>
        <v>Yes</v>
      </c>
      <c r="M316" t="str">
        <f t="shared" si="13"/>
        <v>no</v>
      </c>
      <c r="N316" t="str">
        <f t="shared" si="14"/>
        <v>Yes</v>
      </c>
      <c r="O316">
        <f>SUMIF('raw data'!B$2:B$501,B316,'raw data'!I$2:I$501)</f>
        <v>10189.200000000001</v>
      </c>
      <c r="P316" t="str">
        <f>IF(OR(I316&lt;Visualization!$B$6,I316&gt;Visualization!$B$7),"Outlier","Normal")</f>
        <v>Outlier</v>
      </c>
    </row>
    <row r="317" spans="1:16" x14ac:dyDescent="0.35">
      <c r="A317" s="6" t="s">
        <v>324</v>
      </c>
      <c r="B317" s="15">
        <v>45209</v>
      </c>
      <c r="C317" s="6" t="s">
        <v>572</v>
      </c>
      <c r="D317" s="6" t="s">
        <v>612</v>
      </c>
      <c r="E317" s="6" t="s">
        <v>654</v>
      </c>
      <c r="F317" s="6">
        <v>0</v>
      </c>
      <c r="G317" s="6">
        <v>1499</v>
      </c>
      <c r="H317" s="6">
        <v>15</v>
      </c>
      <c r="I317" s="6">
        <v>0</v>
      </c>
      <c r="J317" s="6" t="str">
        <f>IF(I317&gt;formulas!$B$5,"yes","no")</f>
        <v>no</v>
      </c>
      <c r="K317" s="6" t="str">
        <f t="shared" si="12"/>
        <v>yes</v>
      </c>
      <c r="L317" s="6" t="str">
        <f>IF(COUNTIF('raw data'!$B$2:$B$501,B317)&gt;1,"Yes","No")</f>
        <v>Yes</v>
      </c>
      <c r="M317" t="str">
        <f t="shared" si="13"/>
        <v>no</v>
      </c>
      <c r="N317" t="str">
        <f t="shared" si="14"/>
        <v>No</v>
      </c>
      <c r="O317">
        <f>SUMIF('raw data'!B$2:B$501,B317,'raw data'!I$2:I$501)</f>
        <v>799.2</v>
      </c>
      <c r="P317" t="str">
        <f>IF(OR(I317&lt;Visualization!$B$6,I317&gt;Visualization!$B$7),"Outlier","Normal")</f>
        <v>Normal</v>
      </c>
    </row>
    <row r="318" spans="1:16" x14ac:dyDescent="0.35">
      <c r="A318" s="6" t="s">
        <v>325</v>
      </c>
      <c r="B318" s="15">
        <v>44953</v>
      </c>
      <c r="C318" s="6" t="s">
        <v>577</v>
      </c>
      <c r="D318" s="6" t="s">
        <v>613</v>
      </c>
      <c r="E318" s="6" t="s">
        <v>676</v>
      </c>
      <c r="F318" s="6">
        <v>0</v>
      </c>
      <c r="G318" s="6">
        <v>499</v>
      </c>
      <c r="H318" s="6">
        <v>15</v>
      </c>
      <c r="I318" s="6">
        <v>0</v>
      </c>
      <c r="J318" s="6" t="str">
        <f>IF(I318&gt;formulas!$B$5,"yes","no")</f>
        <v>no</v>
      </c>
      <c r="K318" s="6" t="str">
        <f t="shared" si="12"/>
        <v>yes</v>
      </c>
      <c r="L318" s="6" t="str">
        <f>IF(COUNTIF('raw data'!$B$2:$B$501,B318)&gt;1,"Yes","No")</f>
        <v>No</v>
      </c>
      <c r="M318" t="str">
        <f t="shared" si="13"/>
        <v>no</v>
      </c>
      <c r="N318" t="str">
        <f t="shared" si="14"/>
        <v>No</v>
      </c>
      <c r="O318">
        <f>SUMIF('raw data'!B$2:B$501,B318,'raw data'!I$2:I$501)</f>
        <v>0</v>
      </c>
      <c r="P318" t="str">
        <f>IF(OR(I318&lt;Visualization!$B$6,I318&gt;Visualization!$B$7),"Outlier","Normal")</f>
        <v>Normal</v>
      </c>
    </row>
    <row r="319" spans="1:16" x14ac:dyDescent="0.35">
      <c r="A319" s="6" t="s">
        <v>326</v>
      </c>
      <c r="B319" s="15">
        <v>45152</v>
      </c>
      <c r="C319" s="6" t="s">
        <v>581</v>
      </c>
      <c r="D319" s="6" t="s">
        <v>612</v>
      </c>
      <c r="E319" s="6" t="s">
        <v>639</v>
      </c>
      <c r="F319" s="6">
        <v>3</v>
      </c>
      <c r="G319" s="6">
        <v>1499</v>
      </c>
      <c r="H319" s="6">
        <v>5</v>
      </c>
      <c r="I319" s="6">
        <v>4272.1499999999996</v>
      </c>
      <c r="J319" s="6" t="str">
        <f>IF(I319&gt;formulas!$B$5,"yes","no")</f>
        <v>yes</v>
      </c>
      <c r="K319" s="6" t="str">
        <f t="shared" si="12"/>
        <v>yes</v>
      </c>
      <c r="L319" s="6" t="str">
        <f>IF(COUNTIF('raw data'!$B$2:$B$501,B319)&gt;1,"Yes","No")</f>
        <v>No</v>
      </c>
      <c r="M319" t="str">
        <f t="shared" si="13"/>
        <v>no</v>
      </c>
      <c r="N319" t="str">
        <f t="shared" si="14"/>
        <v>No</v>
      </c>
      <c r="O319">
        <f>SUMIF('raw data'!B$2:B$501,B319,'raw data'!I$2:I$501)</f>
        <v>4272.1499999999996</v>
      </c>
      <c r="P319" t="str">
        <f>IF(OR(I319&lt;Visualization!$B$6,I319&gt;Visualization!$B$7),"Outlier","Normal")</f>
        <v>Outlier</v>
      </c>
    </row>
    <row r="320" spans="1:16" x14ac:dyDescent="0.35">
      <c r="A320" s="6" t="s">
        <v>327</v>
      </c>
      <c r="B320" s="15">
        <v>45203</v>
      </c>
      <c r="C320" s="6" t="s">
        <v>541</v>
      </c>
      <c r="D320" s="6" t="s">
        <v>610</v>
      </c>
      <c r="E320" s="6" t="s">
        <v>707</v>
      </c>
      <c r="F320" s="6">
        <v>2</v>
      </c>
      <c r="G320" s="6">
        <v>1999</v>
      </c>
      <c r="H320" s="6">
        <v>10</v>
      </c>
      <c r="I320" s="6">
        <v>3598.2</v>
      </c>
      <c r="J320" s="6" t="str">
        <f>IF(I320&gt;formulas!$B$5,"yes","no")</f>
        <v>yes</v>
      </c>
      <c r="K320" s="6" t="str">
        <f t="shared" si="12"/>
        <v>yes</v>
      </c>
      <c r="L320" s="6" t="str">
        <f>IF(COUNTIF('raw data'!$B$2:$B$501,B320)&gt;1,"Yes","No")</f>
        <v>Yes</v>
      </c>
      <c r="M320" t="str">
        <f t="shared" si="13"/>
        <v>no</v>
      </c>
      <c r="N320" t="str">
        <f t="shared" si="14"/>
        <v>Yes</v>
      </c>
      <c r="O320">
        <f>SUMIF('raw data'!B$2:B$501,B320,'raw data'!I$2:I$501)</f>
        <v>3598.2</v>
      </c>
      <c r="P320" t="str">
        <f>IF(OR(I320&lt;Visualization!$B$6,I320&gt;Visualization!$B$7),"Outlier","Normal")</f>
        <v>Outlier</v>
      </c>
    </row>
    <row r="321" spans="1:16" x14ac:dyDescent="0.35">
      <c r="A321" s="6" t="s">
        <v>328</v>
      </c>
      <c r="B321" s="15">
        <v>45212</v>
      </c>
      <c r="C321" s="6" t="s">
        <v>520</v>
      </c>
      <c r="D321" s="6" t="s">
        <v>611</v>
      </c>
      <c r="E321" s="6" t="s">
        <v>624</v>
      </c>
      <c r="F321" s="6">
        <v>2</v>
      </c>
      <c r="G321" s="6">
        <v>999</v>
      </c>
      <c r="H321" s="6">
        <v>10</v>
      </c>
      <c r="I321" s="6">
        <v>1798.2</v>
      </c>
      <c r="J321" s="6" t="str">
        <f>IF(I321&gt;formulas!$B$5,"yes","no")</f>
        <v>yes</v>
      </c>
      <c r="K321" s="6" t="str">
        <f t="shared" si="12"/>
        <v>yes</v>
      </c>
      <c r="L321" s="6" t="str">
        <f>IF(COUNTIF('raw data'!$B$2:$B$501,B321)&gt;1,"Yes","No")</f>
        <v>Yes</v>
      </c>
      <c r="M321" t="str">
        <f t="shared" si="13"/>
        <v>no</v>
      </c>
      <c r="N321" t="str">
        <f t="shared" si="14"/>
        <v>Yes</v>
      </c>
      <c r="O321">
        <f>SUMIF('raw data'!B$2:B$501,B321,'raw data'!I$2:I$501)</f>
        <v>2474.8000000000002</v>
      </c>
      <c r="P321" t="str">
        <f>IF(OR(I321&lt;Visualization!$B$6,I321&gt;Visualization!$B$7),"Outlier","Normal")</f>
        <v>Outlier</v>
      </c>
    </row>
    <row r="322" spans="1:16" x14ac:dyDescent="0.35">
      <c r="A322" s="6" t="s">
        <v>329</v>
      </c>
      <c r="B322" s="15">
        <v>45023</v>
      </c>
      <c r="C322" s="6" t="s">
        <v>582</v>
      </c>
      <c r="D322" s="6" t="s">
        <v>612</v>
      </c>
      <c r="E322" s="6" t="s">
        <v>709</v>
      </c>
      <c r="F322" s="6">
        <v>3</v>
      </c>
      <c r="G322" s="6">
        <v>1999</v>
      </c>
      <c r="H322" s="6">
        <v>15</v>
      </c>
      <c r="I322" s="6">
        <v>5097.45</v>
      </c>
      <c r="J322" s="6" t="str">
        <f>IF(I322&gt;formulas!$B$5,"yes","no")</f>
        <v>yes</v>
      </c>
      <c r="K322" s="6" t="str">
        <f t="shared" si="12"/>
        <v>yes</v>
      </c>
      <c r="L322" s="6" t="str">
        <f>IF(COUNTIF('raw data'!$B$2:$B$501,B322)&gt;1,"Yes","No")</f>
        <v>Yes</v>
      </c>
      <c r="M322" t="str">
        <f t="shared" si="13"/>
        <v>no</v>
      </c>
      <c r="N322" t="str">
        <f t="shared" si="14"/>
        <v>Yes</v>
      </c>
      <c r="O322">
        <f>SUMIF('raw data'!B$2:B$501,B322,'raw data'!I$2:I$501)</f>
        <v>7495.0499999999993</v>
      </c>
      <c r="P322" t="str">
        <f>IF(OR(I322&lt;Visualization!$B$6,I322&gt;Visualization!$B$7),"Outlier","Normal")</f>
        <v>Outlier</v>
      </c>
    </row>
    <row r="323" spans="1:16" x14ac:dyDescent="0.35">
      <c r="A323" s="6" t="s">
        <v>330</v>
      </c>
      <c r="B323" s="15">
        <v>45210</v>
      </c>
      <c r="C323" s="6" t="s">
        <v>547</v>
      </c>
      <c r="D323" s="6" t="s">
        <v>611</v>
      </c>
      <c r="E323" s="6" t="s">
        <v>698</v>
      </c>
      <c r="F323" s="6">
        <v>1</v>
      </c>
      <c r="G323" s="6">
        <v>1499</v>
      </c>
      <c r="H323" s="6">
        <v>15</v>
      </c>
      <c r="I323" s="6">
        <v>1274.1500000000001</v>
      </c>
      <c r="J323" s="6" t="str">
        <f>IF(I323&gt;formulas!$B$5,"yes","no")</f>
        <v>no</v>
      </c>
      <c r="K323" s="6" t="str">
        <f t="shared" ref="K323:K386" si="15">IF(H323&gt;0,"yes","no")</f>
        <v>yes</v>
      </c>
      <c r="L323" s="6" t="str">
        <f>IF(COUNTIF('raw data'!$B$2:$B$501,B323)&gt;1,"Yes","No")</f>
        <v>Yes</v>
      </c>
      <c r="M323" t="str">
        <f t="shared" ref="M323:M386" si="16">IF(H323&gt;15,"yes","no")</f>
        <v>no</v>
      </c>
      <c r="N323" t="str">
        <f t="shared" ref="N323:N386" si="17">IF(AND(L323="Yes", J323="yes" ),"Yes","No")</f>
        <v>No</v>
      </c>
      <c r="O323">
        <f>SUMIF('raw data'!B$2:B$501,B323,'raw data'!I$2:I$501)</f>
        <v>5268.75</v>
      </c>
      <c r="P323" t="str">
        <f>IF(OR(I323&lt;Visualization!$B$6,I323&gt;Visualization!$B$7),"Outlier","Normal")</f>
        <v>Outlier</v>
      </c>
    </row>
    <row r="324" spans="1:16" x14ac:dyDescent="0.35">
      <c r="A324" s="6" t="s">
        <v>331</v>
      </c>
      <c r="B324" s="15">
        <v>45243</v>
      </c>
      <c r="C324" s="6" t="s">
        <v>602</v>
      </c>
      <c r="D324" s="6" t="s">
        <v>613</v>
      </c>
      <c r="E324" s="6" t="s">
        <v>623</v>
      </c>
      <c r="F324" s="6">
        <v>1</v>
      </c>
      <c r="G324" s="6">
        <v>499</v>
      </c>
      <c r="H324" s="6">
        <v>0</v>
      </c>
      <c r="I324" s="6">
        <v>499</v>
      </c>
      <c r="J324" s="6" t="str">
        <f>IF(I324&gt;formulas!$B$5,"yes","no")</f>
        <v>no</v>
      </c>
      <c r="K324" s="6" t="str">
        <f t="shared" si="15"/>
        <v>no</v>
      </c>
      <c r="L324" s="6" t="str">
        <f>IF(COUNTIF('raw data'!$B$2:$B$501,B324)&gt;1,"Yes","No")</f>
        <v>No</v>
      </c>
      <c r="M324" t="str">
        <f t="shared" si="16"/>
        <v>no</v>
      </c>
      <c r="N324" t="str">
        <f t="shared" si="17"/>
        <v>No</v>
      </c>
      <c r="O324">
        <f>SUMIF('raw data'!B$2:B$501,B324,'raw data'!I$2:I$501)</f>
        <v>499</v>
      </c>
      <c r="P324" t="str">
        <f>IF(OR(I324&lt;Visualization!$B$6,I324&gt;Visualization!$B$7),"Outlier","Normal")</f>
        <v>Outlier</v>
      </c>
    </row>
    <row r="325" spans="1:16" x14ac:dyDescent="0.35">
      <c r="A325" s="6" t="s">
        <v>332</v>
      </c>
      <c r="B325" s="15">
        <v>45230</v>
      </c>
      <c r="C325" s="6" t="s">
        <v>582</v>
      </c>
      <c r="D325" s="6" t="s">
        <v>611</v>
      </c>
      <c r="E325" s="6" t="s">
        <v>639</v>
      </c>
      <c r="F325" s="6">
        <v>2</v>
      </c>
      <c r="G325" s="6">
        <v>499</v>
      </c>
      <c r="H325" s="6">
        <v>10</v>
      </c>
      <c r="I325" s="6">
        <v>898.2</v>
      </c>
      <c r="J325" s="6" t="str">
        <f>IF(I325&gt;formulas!$B$5,"yes","no")</f>
        <v>no</v>
      </c>
      <c r="K325" s="6" t="str">
        <f t="shared" si="15"/>
        <v>yes</v>
      </c>
      <c r="L325" s="6" t="str">
        <f>IF(COUNTIF('raw data'!$B$2:$B$501,B325)&gt;1,"Yes","No")</f>
        <v>Yes</v>
      </c>
      <c r="M325" t="str">
        <f t="shared" si="16"/>
        <v>no</v>
      </c>
      <c r="N325" t="str">
        <f t="shared" si="17"/>
        <v>No</v>
      </c>
      <c r="O325">
        <f>SUMIF('raw data'!B$2:B$501,B325,'raw data'!I$2:I$501)</f>
        <v>14386.9</v>
      </c>
      <c r="P325" t="str">
        <f>IF(OR(I325&lt;Visualization!$B$6,I325&gt;Visualization!$B$7),"Outlier","Normal")</f>
        <v>Outlier</v>
      </c>
    </row>
    <row r="326" spans="1:16" x14ac:dyDescent="0.35">
      <c r="A326" s="6" t="s">
        <v>333</v>
      </c>
      <c r="B326" s="15">
        <v>45073</v>
      </c>
      <c r="C326" s="6" t="s">
        <v>516</v>
      </c>
      <c r="D326" s="6" t="s">
        <v>612</v>
      </c>
      <c r="E326" s="6" t="s">
        <v>651</v>
      </c>
      <c r="F326" s="6">
        <v>4</v>
      </c>
      <c r="G326" s="6">
        <v>1499</v>
      </c>
      <c r="H326" s="6">
        <v>5</v>
      </c>
      <c r="I326" s="6">
        <v>5696.2</v>
      </c>
      <c r="J326" s="6" t="str">
        <f>IF(I326&gt;formulas!$B$5,"yes","no")</f>
        <v>yes</v>
      </c>
      <c r="K326" s="6" t="str">
        <f t="shared" si="15"/>
        <v>yes</v>
      </c>
      <c r="L326" s="6" t="str">
        <f>IF(COUNTIF('raw data'!$B$2:$B$501,B326)&gt;1,"Yes","No")</f>
        <v>Yes</v>
      </c>
      <c r="M326" t="str">
        <f t="shared" si="16"/>
        <v>no</v>
      </c>
      <c r="N326" t="str">
        <f t="shared" si="17"/>
        <v>Yes</v>
      </c>
      <c r="O326">
        <f>SUMIF('raw data'!B$2:B$501,B326,'raw data'!I$2:I$501)</f>
        <v>12043.649999999998</v>
      </c>
      <c r="P326" t="str">
        <f>IF(OR(I326&lt;Visualization!$B$6,I326&gt;Visualization!$B$7),"Outlier","Normal")</f>
        <v>Outlier</v>
      </c>
    </row>
    <row r="327" spans="1:16" x14ac:dyDescent="0.35">
      <c r="A327" s="6" t="s">
        <v>334</v>
      </c>
      <c r="B327" s="15">
        <v>44930</v>
      </c>
      <c r="C327" s="6" t="s">
        <v>602</v>
      </c>
      <c r="D327" s="6" t="s">
        <v>610</v>
      </c>
      <c r="E327" s="6" t="s">
        <v>661</v>
      </c>
      <c r="F327" s="6">
        <v>3</v>
      </c>
      <c r="G327" s="6">
        <v>299</v>
      </c>
      <c r="H327" s="6">
        <v>10</v>
      </c>
      <c r="I327" s="6">
        <v>807.30000000000007</v>
      </c>
      <c r="J327" s="6" t="str">
        <f>IF(I327&gt;formulas!$B$5,"yes","no")</f>
        <v>no</v>
      </c>
      <c r="K327" s="6" t="str">
        <f t="shared" si="15"/>
        <v>yes</v>
      </c>
      <c r="L327" s="6" t="str">
        <f>IF(COUNTIF('raw data'!$B$2:$B$501,B327)&gt;1,"Yes","No")</f>
        <v>Yes</v>
      </c>
      <c r="M327" t="str">
        <f t="shared" si="16"/>
        <v>no</v>
      </c>
      <c r="N327" t="str">
        <f t="shared" si="17"/>
        <v>No</v>
      </c>
      <c r="O327">
        <f>SUMIF('raw data'!B$2:B$501,B327,'raw data'!I$2:I$501)</f>
        <v>807.30000000000007</v>
      </c>
      <c r="P327" t="str">
        <f>IF(OR(I327&lt;Visualization!$B$6,I327&gt;Visualization!$B$7),"Outlier","Normal")</f>
        <v>Outlier</v>
      </c>
    </row>
    <row r="328" spans="1:16" x14ac:dyDescent="0.35">
      <c r="A328" s="6" t="s">
        <v>335</v>
      </c>
      <c r="B328" s="15">
        <v>44961</v>
      </c>
      <c r="C328" s="6" t="s">
        <v>550</v>
      </c>
      <c r="D328" s="6" t="s">
        <v>613</v>
      </c>
      <c r="E328" s="6" t="s">
        <v>622</v>
      </c>
      <c r="F328" s="6">
        <v>1</v>
      </c>
      <c r="G328" s="6">
        <v>999</v>
      </c>
      <c r="H328" s="6">
        <v>0</v>
      </c>
      <c r="I328" s="6">
        <v>999</v>
      </c>
      <c r="J328" s="6" t="str">
        <f>IF(I328&gt;formulas!$B$5,"yes","no")</f>
        <v>no</v>
      </c>
      <c r="K328" s="6" t="str">
        <f t="shared" si="15"/>
        <v>no</v>
      </c>
      <c r="L328" s="6" t="str">
        <f>IF(COUNTIF('raw data'!$B$2:$B$501,B328)&gt;1,"Yes","No")</f>
        <v>Yes</v>
      </c>
      <c r="M328" t="str">
        <f t="shared" si="16"/>
        <v>no</v>
      </c>
      <c r="N328" t="str">
        <f t="shared" si="17"/>
        <v>No</v>
      </c>
      <c r="O328">
        <f>SUMIF('raw data'!B$2:B$501,B328,'raw data'!I$2:I$501)</f>
        <v>4197.3999999999996</v>
      </c>
      <c r="P328" t="str">
        <f>IF(OR(I328&lt;Visualization!$B$6,I328&gt;Visualization!$B$7),"Outlier","Normal")</f>
        <v>Outlier</v>
      </c>
    </row>
    <row r="329" spans="1:16" x14ac:dyDescent="0.35">
      <c r="A329" s="6" t="s">
        <v>336</v>
      </c>
      <c r="B329" s="15">
        <v>45118</v>
      </c>
      <c r="C329" s="6" t="s">
        <v>556</v>
      </c>
      <c r="D329" s="6" t="s">
        <v>612</v>
      </c>
      <c r="E329" s="6" t="s">
        <v>652</v>
      </c>
      <c r="F329" s="6">
        <v>2</v>
      </c>
      <c r="G329" s="6"/>
      <c r="H329" s="6"/>
      <c r="I329" s="6"/>
      <c r="J329" s="6" t="str">
        <f>IF(I329&gt;formulas!$B$5,"yes","no")</f>
        <v>no</v>
      </c>
      <c r="K329" s="6" t="str">
        <f t="shared" si="15"/>
        <v>no</v>
      </c>
      <c r="L329" s="6" t="str">
        <f>IF(COUNTIF('raw data'!$B$2:$B$501,B329)&gt;1,"Yes","No")</f>
        <v>Yes</v>
      </c>
      <c r="M329" t="str">
        <f t="shared" si="16"/>
        <v>no</v>
      </c>
      <c r="N329" t="str">
        <f t="shared" si="17"/>
        <v>No</v>
      </c>
      <c r="O329">
        <f>SUMIF('raw data'!B$2:B$501,B329,'raw data'!I$2:I$501)</f>
        <v>0</v>
      </c>
      <c r="P329" t="str">
        <f>IF(OR(I329&lt;Visualization!$B$6,I329&gt;Visualization!$B$7),"Outlier","Normal")</f>
        <v>Normal</v>
      </c>
    </row>
    <row r="330" spans="1:16" x14ac:dyDescent="0.35">
      <c r="A330" s="6" t="s">
        <v>337</v>
      </c>
      <c r="B330" s="15">
        <v>44975</v>
      </c>
      <c r="C330" s="6" t="s">
        <v>604</v>
      </c>
      <c r="D330" s="6" t="s">
        <v>613</v>
      </c>
      <c r="E330" s="6" t="s">
        <v>663</v>
      </c>
      <c r="F330" s="6">
        <v>1</v>
      </c>
      <c r="G330" s="6">
        <v>199</v>
      </c>
      <c r="H330" s="6">
        <v>15</v>
      </c>
      <c r="I330" s="6">
        <v>169.15</v>
      </c>
      <c r="J330" s="6" t="str">
        <f>IF(I330&gt;formulas!$B$5,"yes","no")</f>
        <v>no</v>
      </c>
      <c r="K330" s="6" t="str">
        <f t="shared" si="15"/>
        <v>yes</v>
      </c>
      <c r="L330" s="6" t="str">
        <f>IF(COUNTIF('raw data'!$B$2:$B$501,B330)&gt;1,"Yes","No")</f>
        <v>Yes</v>
      </c>
      <c r="M330" t="str">
        <f t="shared" si="16"/>
        <v>no</v>
      </c>
      <c r="N330" t="str">
        <f t="shared" si="17"/>
        <v>No</v>
      </c>
      <c r="O330">
        <f>SUMIF('raw data'!B$2:B$501,B330,'raw data'!I$2:I$501)</f>
        <v>668.15</v>
      </c>
      <c r="P330" t="str">
        <f>IF(OR(I330&lt;Visualization!$B$6,I330&gt;Visualization!$B$7),"Outlier","Normal")</f>
        <v>Outlier</v>
      </c>
    </row>
    <row r="331" spans="1:16" x14ac:dyDescent="0.35">
      <c r="A331" s="6" t="s">
        <v>338</v>
      </c>
      <c r="B331" s="15">
        <v>44943</v>
      </c>
      <c r="C331" s="6" t="s">
        <v>512</v>
      </c>
      <c r="D331" s="6" t="s">
        <v>609</v>
      </c>
      <c r="E331" s="6" t="s">
        <v>678</v>
      </c>
      <c r="F331" s="6">
        <v>1</v>
      </c>
      <c r="G331" s="6">
        <v>499</v>
      </c>
      <c r="H331" s="6">
        <v>15</v>
      </c>
      <c r="I331" s="6">
        <v>424.15</v>
      </c>
      <c r="J331" s="6" t="str">
        <f>IF(I331&gt;formulas!$B$5,"yes","no")</f>
        <v>no</v>
      </c>
      <c r="K331" s="6" t="str">
        <f t="shared" si="15"/>
        <v>yes</v>
      </c>
      <c r="L331" s="6" t="str">
        <f>IF(COUNTIF('raw data'!$B$2:$B$501,B331)&gt;1,"Yes","No")</f>
        <v>No</v>
      </c>
      <c r="M331" t="str">
        <f t="shared" si="16"/>
        <v>no</v>
      </c>
      <c r="N331" t="str">
        <f t="shared" si="17"/>
        <v>No</v>
      </c>
      <c r="O331">
        <f>SUMIF('raw data'!B$2:B$501,B331,'raw data'!I$2:I$501)</f>
        <v>424.15</v>
      </c>
      <c r="P331" t="str">
        <f>IF(OR(I331&lt;Visualization!$B$6,I331&gt;Visualization!$B$7),"Outlier","Normal")</f>
        <v>Outlier</v>
      </c>
    </row>
    <row r="332" spans="1:16" x14ac:dyDescent="0.35">
      <c r="A332" s="6" t="s">
        <v>339</v>
      </c>
      <c r="B332" s="15">
        <v>45098</v>
      </c>
      <c r="C332" s="6" t="s">
        <v>520</v>
      </c>
      <c r="D332" s="6" t="s">
        <v>611</v>
      </c>
      <c r="E332" s="6" t="s">
        <v>635</v>
      </c>
      <c r="F332" s="6">
        <v>4</v>
      </c>
      <c r="G332" s="6">
        <v>199</v>
      </c>
      <c r="H332" s="6">
        <v>0</v>
      </c>
      <c r="I332" s="6">
        <v>796</v>
      </c>
      <c r="J332" s="6" t="str">
        <f>IF(I332&gt;formulas!$B$5,"yes","no")</f>
        <v>no</v>
      </c>
      <c r="K332" s="6" t="str">
        <f t="shared" si="15"/>
        <v>no</v>
      </c>
      <c r="L332" s="6" t="str">
        <f>IF(COUNTIF('raw data'!$B$2:$B$501,B332)&gt;1,"Yes","No")</f>
        <v>Yes</v>
      </c>
      <c r="M332" t="str">
        <f t="shared" si="16"/>
        <v>no</v>
      </c>
      <c r="N332" t="str">
        <f t="shared" si="17"/>
        <v>No</v>
      </c>
      <c r="O332">
        <f>SUMIF('raw data'!B$2:B$501,B332,'raw data'!I$2:I$501)</f>
        <v>2452.1999999999998</v>
      </c>
      <c r="P332" t="str">
        <f>IF(OR(I332&lt;Visualization!$B$6,I332&gt;Visualization!$B$7),"Outlier","Normal")</f>
        <v>Outlier</v>
      </c>
    </row>
    <row r="333" spans="1:16" x14ac:dyDescent="0.35">
      <c r="A333" s="6" t="s">
        <v>340</v>
      </c>
      <c r="B333" s="15">
        <v>45146</v>
      </c>
      <c r="C333" s="6" t="s">
        <v>593</v>
      </c>
      <c r="D333" s="6" t="s">
        <v>609</v>
      </c>
      <c r="E333" s="6" t="s">
        <v>709</v>
      </c>
      <c r="F333" s="6">
        <v>1</v>
      </c>
      <c r="G333" s="6"/>
      <c r="H333" s="6">
        <v>5</v>
      </c>
      <c r="I333" s="6"/>
      <c r="J333" s="6" t="str">
        <f>IF(I333&gt;formulas!$B$5,"yes","no")</f>
        <v>no</v>
      </c>
      <c r="K333" s="6" t="str">
        <f t="shared" si="15"/>
        <v>yes</v>
      </c>
      <c r="L333" s="6" t="str">
        <f>IF(COUNTIF('raw data'!$B$2:$B$501,B333)&gt;1,"Yes","No")</f>
        <v>Yes</v>
      </c>
      <c r="M333" t="str">
        <f t="shared" si="16"/>
        <v>no</v>
      </c>
      <c r="N333" t="str">
        <f t="shared" si="17"/>
        <v>No</v>
      </c>
      <c r="O333">
        <f>SUMIF('raw data'!B$2:B$501,B333,'raw data'!I$2:I$501)</f>
        <v>10044.299999999999</v>
      </c>
      <c r="P333" t="str">
        <f>IF(OR(I333&lt;Visualization!$B$6,I333&gt;Visualization!$B$7),"Outlier","Normal")</f>
        <v>Normal</v>
      </c>
    </row>
    <row r="334" spans="1:16" x14ac:dyDescent="0.35">
      <c r="A334" s="6" t="s">
        <v>341</v>
      </c>
      <c r="B334" s="15">
        <v>45084</v>
      </c>
      <c r="C334" s="6" t="s">
        <v>602</v>
      </c>
      <c r="D334" s="6" t="s">
        <v>612</v>
      </c>
      <c r="E334" s="6" t="s">
        <v>659</v>
      </c>
      <c r="F334" s="6">
        <v>1</v>
      </c>
      <c r="G334" s="6">
        <v>1999</v>
      </c>
      <c r="H334" s="6">
        <v>15</v>
      </c>
      <c r="I334" s="6">
        <v>1699.15</v>
      </c>
      <c r="J334" s="6" t="str">
        <f>IF(I334&gt;formulas!$B$5,"yes","no")</f>
        <v>yes</v>
      </c>
      <c r="K334" s="6" t="str">
        <f t="shared" si="15"/>
        <v>yes</v>
      </c>
      <c r="L334" s="6" t="str">
        <f>IF(COUNTIF('raw data'!$B$2:$B$501,B334)&gt;1,"Yes","No")</f>
        <v>Yes</v>
      </c>
      <c r="M334" t="str">
        <f t="shared" si="16"/>
        <v>no</v>
      </c>
      <c r="N334" t="str">
        <f t="shared" si="17"/>
        <v>Yes</v>
      </c>
      <c r="O334">
        <f>SUMIF('raw data'!B$2:B$501,B334,'raw data'!I$2:I$501)</f>
        <v>3298.3500000000004</v>
      </c>
      <c r="P334" t="str">
        <f>IF(OR(I334&lt;Visualization!$B$6,I334&gt;Visualization!$B$7),"Outlier","Normal")</f>
        <v>Outlier</v>
      </c>
    </row>
    <row r="335" spans="1:16" x14ac:dyDescent="0.35">
      <c r="A335" s="6" t="s">
        <v>342</v>
      </c>
      <c r="B335" s="15">
        <v>44972</v>
      </c>
      <c r="C335" s="6" t="s">
        <v>567</v>
      </c>
      <c r="D335" s="6" t="s">
        <v>610</v>
      </c>
      <c r="E335" s="6" t="s">
        <v>633</v>
      </c>
      <c r="F335" s="6">
        <v>3</v>
      </c>
      <c r="G335" s="6">
        <v>199</v>
      </c>
      <c r="H335" s="6">
        <v>20</v>
      </c>
      <c r="I335" s="6">
        <v>477.6</v>
      </c>
      <c r="J335" s="6" t="str">
        <f>IF(I335&gt;formulas!$B$5,"yes","no")</f>
        <v>no</v>
      </c>
      <c r="K335" s="6" t="str">
        <f t="shared" si="15"/>
        <v>yes</v>
      </c>
      <c r="L335" s="6" t="str">
        <f>IF(COUNTIF('raw data'!$B$2:$B$501,B335)&gt;1,"Yes","No")</f>
        <v>No</v>
      </c>
      <c r="M335" t="str">
        <f t="shared" si="16"/>
        <v>yes</v>
      </c>
      <c r="N335" t="str">
        <f t="shared" si="17"/>
        <v>No</v>
      </c>
      <c r="O335">
        <f>SUMIF('raw data'!B$2:B$501,B335,'raw data'!I$2:I$501)</f>
        <v>477.6</v>
      </c>
      <c r="P335" t="str">
        <f>IF(OR(I335&lt;Visualization!$B$6,I335&gt;Visualization!$B$7),"Outlier","Normal")</f>
        <v>Outlier</v>
      </c>
    </row>
    <row r="336" spans="1:16" x14ac:dyDescent="0.35">
      <c r="A336" s="6" t="s">
        <v>343</v>
      </c>
      <c r="B336" s="15">
        <v>44932</v>
      </c>
      <c r="C336" s="6" t="s">
        <v>582</v>
      </c>
      <c r="D336" s="6" t="s">
        <v>613</v>
      </c>
      <c r="E336" s="6" t="s">
        <v>676</v>
      </c>
      <c r="F336" s="6">
        <v>3</v>
      </c>
      <c r="G336" s="6"/>
      <c r="H336" s="6">
        <v>15</v>
      </c>
      <c r="I336" s="6"/>
      <c r="J336" s="6" t="str">
        <f>IF(I336&gt;formulas!$B$5,"yes","no")</f>
        <v>no</v>
      </c>
      <c r="K336" s="6" t="str">
        <f t="shared" si="15"/>
        <v>yes</v>
      </c>
      <c r="L336" s="6" t="str">
        <f>IF(COUNTIF('raw data'!$B$2:$B$501,B336)&gt;1,"Yes","No")</f>
        <v>No</v>
      </c>
      <c r="M336" t="str">
        <f t="shared" si="16"/>
        <v>no</v>
      </c>
      <c r="N336" t="str">
        <f t="shared" si="17"/>
        <v>No</v>
      </c>
      <c r="O336">
        <f>SUMIF('raw data'!B$2:B$501,B336,'raw data'!I$2:I$501)</f>
        <v>0</v>
      </c>
      <c r="P336" t="str">
        <f>IF(OR(I336&lt;Visualization!$B$6,I336&gt;Visualization!$B$7),"Outlier","Normal")</f>
        <v>Normal</v>
      </c>
    </row>
    <row r="337" spans="1:16" x14ac:dyDescent="0.35">
      <c r="A337" s="6" t="s">
        <v>344</v>
      </c>
      <c r="B337" s="15">
        <v>45025</v>
      </c>
      <c r="C337" s="6" t="s">
        <v>605</v>
      </c>
      <c r="D337" s="6" t="s">
        <v>611</v>
      </c>
      <c r="E337" s="6" t="s">
        <v>636</v>
      </c>
      <c r="F337" s="6">
        <v>3</v>
      </c>
      <c r="G337" s="6">
        <v>1499</v>
      </c>
      <c r="H337" s="6">
        <v>20</v>
      </c>
      <c r="I337" s="6">
        <v>3597.6</v>
      </c>
      <c r="J337" s="6" t="str">
        <f>IF(I337&gt;formulas!$B$5,"yes","no")</f>
        <v>yes</v>
      </c>
      <c r="K337" s="6" t="str">
        <f t="shared" si="15"/>
        <v>yes</v>
      </c>
      <c r="L337" s="6" t="str">
        <f>IF(COUNTIF('raw data'!$B$2:$B$501,B337)&gt;1,"Yes","No")</f>
        <v>Yes</v>
      </c>
      <c r="M337" t="str">
        <f t="shared" si="16"/>
        <v>yes</v>
      </c>
      <c r="N337" t="str">
        <f t="shared" si="17"/>
        <v>Yes</v>
      </c>
      <c r="O337">
        <f>SUMIF('raw data'!B$2:B$501,B337,'raw data'!I$2:I$501)</f>
        <v>14336.099999999999</v>
      </c>
      <c r="P337" t="str">
        <f>IF(OR(I337&lt;Visualization!$B$6,I337&gt;Visualization!$B$7),"Outlier","Normal")</f>
        <v>Outlier</v>
      </c>
    </row>
    <row r="338" spans="1:16" x14ac:dyDescent="0.35">
      <c r="A338" s="6" t="s">
        <v>345</v>
      </c>
      <c r="B338" s="15">
        <v>45159</v>
      </c>
      <c r="C338" s="6" t="s">
        <v>606</v>
      </c>
      <c r="D338" s="6" t="s">
        <v>613</v>
      </c>
      <c r="E338" s="6" t="s">
        <v>664</v>
      </c>
      <c r="F338" s="6">
        <v>1</v>
      </c>
      <c r="G338" s="6">
        <v>299</v>
      </c>
      <c r="H338" s="6">
        <v>0</v>
      </c>
      <c r="I338" s="6">
        <v>299</v>
      </c>
      <c r="J338" s="6" t="str">
        <f>IF(I338&gt;formulas!$B$5,"yes","no")</f>
        <v>no</v>
      </c>
      <c r="K338" s="6" t="str">
        <f t="shared" si="15"/>
        <v>no</v>
      </c>
      <c r="L338" s="6" t="str">
        <f>IF(COUNTIF('raw data'!$B$2:$B$501,B338)&gt;1,"Yes","No")</f>
        <v>Yes</v>
      </c>
      <c r="M338" t="str">
        <f t="shared" si="16"/>
        <v>no</v>
      </c>
      <c r="N338" t="str">
        <f t="shared" si="17"/>
        <v>No</v>
      </c>
      <c r="O338">
        <f>SUMIF('raw data'!B$2:B$501,B338,'raw data'!I$2:I$501)</f>
        <v>3755.7</v>
      </c>
      <c r="P338" t="str">
        <f>IF(OR(I338&lt;Visualization!$B$6,I338&gt;Visualization!$B$7),"Outlier","Normal")</f>
        <v>Outlier</v>
      </c>
    </row>
    <row r="339" spans="1:16" x14ac:dyDescent="0.35">
      <c r="A339" s="6" t="s">
        <v>346</v>
      </c>
      <c r="B339" s="15">
        <v>44963</v>
      </c>
      <c r="C339" s="6" t="s">
        <v>604</v>
      </c>
      <c r="D339" s="6" t="s">
        <v>612</v>
      </c>
      <c r="E339" s="6" t="s">
        <v>652</v>
      </c>
      <c r="F339" s="6">
        <v>1</v>
      </c>
      <c r="G339" s="6">
        <v>499</v>
      </c>
      <c r="H339" s="6">
        <v>0</v>
      </c>
      <c r="I339" s="6">
        <v>499</v>
      </c>
      <c r="J339" s="6" t="str">
        <f>IF(I339&gt;formulas!$B$5,"yes","no")</f>
        <v>no</v>
      </c>
      <c r="K339" s="6" t="str">
        <f t="shared" si="15"/>
        <v>no</v>
      </c>
      <c r="L339" s="6" t="str">
        <f>IF(COUNTIF('raw data'!$B$2:$B$501,B339)&gt;1,"Yes","No")</f>
        <v>Yes</v>
      </c>
      <c r="M339" t="str">
        <f t="shared" si="16"/>
        <v>no</v>
      </c>
      <c r="N339" t="str">
        <f t="shared" si="17"/>
        <v>No</v>
      </c>
      <c r="O339">
        <f>SUMIF('raw data'!B$2:B$501,B339,'raw data'!I$2:I$501)</f>
        <v>499</v>
      </c>
      <c r="P339" t="str">
        <f>IF(OR(I339&lt;Visualization!$B$6,I339&gt;Visualization!$B$7),"Outlier","Normal")</f>
        <v>Outlier</v>
      </c>
    </row>
    <row r="340" spans="1:16" x14ac:dyDescent="0.35">
      <c r="A340" s="6" t="s">
        <v>347</v>
      </c>
      <c r="B340" s="15">
        <v>45206</v>
      </c>
      <c r="C340" s="6" t="s">
        <v>556</v>
      </c>
      <c r="D340" s="6" t="s">
        <v>613</v>
      </c>
      <c r="E340" s="6" t="s">
        <v>679</v>
      </c>
      <c r="F340" s="6">
        <v>1</v>
      </c>
      <c r="G340" s="6"/>
      <c r="H340" s="6">
        <v>15</v>
      </c>
      <c r="I340" s="6"/>
      <c r="J340" s="6" t="str">
        <f>IF(I340&gt;formulas!$B$5,"yes","no")</f>
        <v>no</v>
      </c>
      <c r="K340" s="6" t="str">
        <f t="shared" si="15"/>
        <v>yes</v>
      </c>
      <c r="L340" s="6" t="str">
        <f>IF(COUNTIF('raw data'!$B$2:$B$501,B340)&gt;1,"Yes","No")</f>
        <v>Yes</v>
      </c>
      <c r="M340" t="str">
        <f t="shared" si="16"/>
        <v>no</v>
      </c>
      <c r="N340" t="str">
        <f t="shared" si="17"/>
        <v>No</v>
      </c>
      <c r="O340">
        <f>SUMIF('raw data'!B$2:B$501,B340,'raw data'!I$2:I$501)</f>
        <v>8893.6999999999989</v>
      </c>
      <c r="P340" t="str">
        <f>IF(OR(I340&lt;Visualization!$B$6,I340&gt;Visualization!$B$7),"Outlier","Normal")</f>
        <v>Normal</v>
      </c>
    </row>
    <row r="341" spans="1:16" x14ac:dyDescent="0.35">
      <c r="A341" s="6" t="s">
        <v>348</v>
      </c>
      <c r="B341" s="15">
        <v>45275</v>
      </c>
      <c r="C341" s="6" t="s">
        <v>520</v>
      </c>
      <c r="D341" s="6" t="s">
        <v>611</v>
      </c>
      <c r="E341" s="6" t="s">
        <v>687</v>
      </c>
      <c r="F341" s="6">
        <v>1</v>
      </c>
      <c r="G341" s="6">
        <v>199</v>
      </c>
      <c r="H341" s="6">
        <v>10</v>
      </c>
      <c r="I341" s="6">
        <v>179.1</v>
      </c>
      <c r="J341" s="6" t="str">
        <f>IF(I341&gt;formulas!$B$5,"yes","no")</f>
        <v>no</v>
      </c>
      <c r="K341" s="6" t="str">
        <f t="shared" si="15"/>
        <v>yes</v>
      </c>
      <c r="L341" s="6" t="str">
        <f>IF(COUNTIF('raw data'!$B$2:$B$501,B341)&gt;1,"Yes","No")</f>
        <v>Yes</v>
      </c>
      <c r="M341" t="str">
        <f t="shared" si="16"/>
        <v>no</v>
      </c>
      <c r="N341" t="str">
        <f t="shared" si="17"/>
        <v>No</v>
      </c>
      <c r="O341">
        <f>SUMIF('raw data'!B$2:B$501,B341,'raw data'!I$2:I$501)</f>
        <v>7282.8</v>
      </c>
      <c r="P341" t="str">
        <f>IF(OR(I341&lt;Visualization!$B$6,I341&gt;Visualization!$B$7),"Outlier","Normal")</f>
        <v>Outlier</v>
      </c>
    </row>
    <row r="342" spans="1:16" x14ac:dyDescent="0.35">
      <c r="A342" s="6" t="s">
        <v>349</v>
      </c>
      <c r="B342" s="15">
        <v>45228</v>
      </c>
      <c r="C342" s="6" t="s">
        <v>532</v>
      </c>
      <c r="D342" s="6" t="s">
        <v>612</v>
      </c>
      <c r="E342" s="6" t="s">
        <v>679</v>
      </c>
      <c r="F342" s="6">
        <v>3</v>
      </c>
      <c r="G342" s="6">
        <v>499</v>
      </c>
      <c r="H342" s="6">
        <v>20</v>
      </c>
      <c r="I342" s="6">
        <v>1197.5999999999999</v>
      </c>
      <c r="J342" s="6" t="str">
        <f>IF(I342&gt;formulas!$B$5,"yes","no")</f>
        <v>no</v>
      </c>
      <c r="K342" s="6" t="str">
        <f t="shared" si="15"/>
        <v>yes</v>
      </c>
      <c r="L342" s="6" t="str">
        <f>IF(COUNTIF('raw data'!$B$2:$B$501,B342)&gt;1,"Yes","No")</f>
        <v>No</v>
      </c>
      <c r="M342" t="str">
        <f t="shared" si="16"/>
        <v>yes</v>
      </c>
      <c r="N342" t="str">
        <f t="shared" si="17"/>
        <v>No</v>
      </c>
      <c r="O342">
        <f>SUMIF('raw data'!B$2:B$501,B342,'raw data'!I$2:I$501)</f>
        <v>1197.5999999999999</v>
      </c>
      <c r="P342" t="str">
        <f>IF(OR(I342&lt;Visualization!$B$6,I342&gt;Visualization!$B$7),"Outlier","Normal")</f>
        <v>Outlier</v>
      </c>
    </row>
    <row r="343" spans="1:16" x14ac:dyDescent="0.35">
      <c r="A343" s="6" t="s">
        <v>350</v>
      </c>
      <c r="B343" s="15">
        <v>45107</v>
      </c>
      <c r="C343" s="6" t="s">
        <v>578</v>
      </c>
      <c r="D343" s="6" t="s">
        <v>613</v>
      </c>
      <c r="E343" s="6" t="s">
        <v>676</v>
      </c>
      <c r="F343" s="6">
        <v>4</v>
      </c>
      <c r="G343" s="6">
        <v>299</v>
      </c>
      <c r="H343" s="6">
        <v>5</v>
      </c>
      <c r="I343" s="6">
        <v>1136.2</v>
      </c>
      <c r="J343" s="6" t="str">
        <f>IF(I343&gt;formulas!$B$5,"yes","no")</f>
        <v>no</v>
      </c>
      <c r="K343" s="6" t="str">
        <f t="shared" si="15"/>
        <v>yes</v>
      </c>
      <c r="L343" s="6" t="str">
        <f>IF(COUNTIF('raw data'!$B$2:$B$501,B343)&gt;1,"Yes","No")</f>
        <v>No</v>
      </c>
      <c r="M343" t="str">
        <f t="shared" si="16"/>
        <v>no</v>
      </c>
      <c r="N343" t="str">
        <f t="shared" si="17"/>
        <v>No</v>
      </c>
      <c r="O343">
        <f>SUMIF('raw data'!B$2:B$501,B343,'raw data'!I$2:I$501)</f>
        <v>1136.2</v>
      </c>
      <c r="P343" t="str">
        <f>IF(OR(I343&lt;Visualization!$B$6,I343&gt;Visualization!$B$7),"Outlier","Normal")</f>
        <v>Outlier</v>
      </c>
    </row>
    <row r="344" spans="1:16" x14ac:dyDescent="0.35">
      <c r="A344" s="6" t="s">
        <v>351</v>
      </c>
      <c r="B344" s="15">
        <v>45021</v>
      </c>
      <c r="C344" s="6" t="s">
        <v>527</v>
      </c>
      <c r="D344" s="6" t="s">
        <v>610</v>
      </c>
      <c r="E344" s="6" t="s">
        <v>626</v>
      </c>
      <c r="F344" s="6">
        <v>3</v>
      </c>
      <c r="G344" s="6">
        <v>1499</v>
      </c>
      <c r="H344" s="6">
        <v>15</v>
      </c>
      <c r="I344" s="6">
        <v>3822.45</v>
      </c>
      <c r="J344" s="6" t="str">
        <f>IF(I344&gt;formulas!$B$5,"yes","no")</f>
        <v>yes</v>
      </c>
      <c r="K344" s="6" t="str">
        <f t="shared" si="15"/>
        <v>yes</v>
      </c>
      <c r="L344" s="6" t="str">
        <f>IF(COUNTIF('raw data'!$B$2:$B$501,B344)&gt;1,"Yes","No")</f>
        <v>No</v>
      </c>
      <c r="M344" t="str">
        <f t="shared" si="16"/>
        <v>no</v>
      </c>
      <c r="N344" t="str">
        <f t="shared" si="17"/>
        <v>No</v>
      </c>
      <c r="O344">
        <f>SUMIF('raw data'!B$2:B$501,B344,'raw data'!I$2:I$501)</f>
        <v>3822.45</v>
      </c>
      <c r="P344" t="str">
        <f>IF(OR(I344&lt;Visualization!$B$6,I344&gt;Visualization!$B$7),"Outlier","Normal")</f>
        <v>Outlier</v>
      </c>
    </row>
    <row r="345" spans="1:16" x14ac:dyDescent="0.35">
      <c r="A345" s="6" t="s">
        <v>352</v>
      </c>
      <c r="B345" s="15">
        <v>45025</v>
      </c>
      <c r="C345" s="6" t="s">
        <v>584</v>
      </c>
      <c r="D345" s="6" t="s">
        <v>612</v>
      </c>
      <c r="E345" s="6" t="s">
        <v>686</v>
      </c>
      <c r="F345" s="6">
        <v>4</v>
      </c>
      <c r="G345" s="6">
        <v>1999</v>
      </c>
      <c r="H345" s="6">
        <v>5</v>
      </c>
      <c r="I345" s="6">
        <v>7596.2</v>
      </c>
      <c r="J345" s="6" t="str">
        <f>IF(I345&gt;formulas!$B$5,"yes","no")</f>
        <v>yes</v>
      </c>
      <c r="K345" s="6" t="str">
        <f t="shared" si="15"/>
        <v>yes</v>
      </c>
      <c r="L345" s="6" t="str">
        <f>IF(COUNTIF('raw data'!$B$2:$B$501,B345)&gt;1,"Yes","No")</f>
        <v>Yes</v>
      </c>
      <c r="M345" t="str">
        <f t="shared" si="16"/>
        <v>no</v>
      </c>
      <c r="N345" t="str">
        <f t="shared" si="17"/>
        <v>Yes</v>
      </c>
      <c r="O345">
        <f>SUMIF('raw data'!B$2:B$501,B345,'raw data'!I$2:I$501)</f>
        <v>14336.099999999999</v>
      </c>
      <c r="P345" t="str">
        <f>IF(OR(I345&lt;Visualization!$B$6,I345&gt;Visualization!$B$7),"Outlier","Normal")</f>
        <v>Outlier</v>
      </c>
    </row>
    <row r="346" spans="1:16" x14ac:dyDescent="0.35">
      <c r="A346" s="6" t="s">
        <v>353</v>
      </c>
      <c r="B346" s="15">
        <v>45114</v>
      </c>
      <c r="C346" s="6" t="s">
        <v>545</v>
      </c>
      <c r="D346" s="6" t="s">
        <v>612</v>
      </c>
      <c r="E346" s="6" t="s">
        <v>676</v>
      </c>
      <c r="F346" s="6">
        <v>2</v>
      </c>
      <c r="G346" s="6">
        <v>499</v>
      </c>
      <c r="H346" s="6">
        <v>15</v>
      </c>
      <c r="I346" s="6">
        <v>848.3</v>
      </c>
      <c r="J346" s="6" t="str">
        <f>IF(I346&gt;formulas!$B$5,"yes","no")</f>
        <v>no</v>
      </c>
      <c r="K346" s="6" t="str">
        <f t="shared" si="15"/>
        <v>yes</v>
      </c>
      <c r="L346" s="6" t="str">
        <f>IF(COUNTIF('raw data'!$B$2:$B$501,B346)&gt;1,"Yes","No")</f>
        <v>Yes</v>
      </c>
      <c r="M346" t="str">
        <f t="shared" si="16"/>
        <v>no</v>
      </c>
      <c r="N346" t="str">
        <f t="shared" si="17"/>
        <v>No</v>
      </c>
      <c r="O346">
        <f>SUMIF('raw data'!B$2:B$501,B346,'raw data'!I$2:I$501)</f>
        <v>6794.9000000000005</v>
      </c>
      <c r="P346" t="str">
        <f>IF(OR(I346&lt;Visualization!$B$6,I346&gt;Visualization!$B$7),"Outlier","Normal")</f>
        <v>Outlier</v>
      </c>
    </row>
    <row r="347" spans="1:16" x14ac:dyDescent="0.35">
      <c r="A347" s="6" t="s">
        <v>354</v>
      </c>
      <c r="B347" s="15">
        <v>45042</v>
      </c>
      <c r="C347" s="6" t="s">
        <v>594</v>
      </c>
      <c r="D347" s="6" t="s">
        <v>610</v>
      </c>
      <c r="E347" s="6" t="s">
        <v>626</v>
      </c>
      <c r="F347" s="6">
        <v>3</v>
      </c>
      <c r="G347" s="6">
        <v>1999</v>
      </c>
      <c r="H347" s="6">
        <v>10</v>
      </c>
      <c r="I347" s="6">
        <v>5397.3</v>
      </c>
      <c r="J347" s="6" t="str">
        <f>IF(I347&gt;formulas!$B$5,"yes","no")</f>
        <v>yes</v>
      </c>
      <c r="K347" s="6" t="str">
        <f t="shared" si="15"/>
        <v>yes</v>
      </c>
      <c r="L347" s="6" t="str">
        <f>IF(COUNTIF('raw data'!$B$2:$B$501,B347)&gt;1,"Yes","No")</f>
        <v>Yes</v>
      </c>
      <c r="M347" t="str">
        <f t="shared" si="16"/>
        <v>no</v>
      </c>
      <c r="N347" t="str">
        <f t="shared" si="17"/>
        <v>Yes</v>
      </c>
      <c r="O347">
        <f>SUMIF('raw data'!B$2:B$501,B347,'raw data'!I$2:I$501)</f>
        <v>6224.5</v>
      </c>
      <c r="P347" t="str">
        <f>IF(OR(I347&lt;Visualization!$B$6,I347&gt;Visualization!$B$7),"Outlier","Normal")</f>
        <v>Outlier</v>
      </c>
    </row>
    <row r="348" spans="1:16" x14ac:dyDescent="0.35">
      <c r="A348" s="6" t="s">
        <v>355</v>
      </c>
      <c r="B348" s="15">
        <v>45117</v>
      </c>
      <c r="C348" s="6" t="s">
        <v>557</v>
      </c>
      <c r="D348" s="6" t="s">
        <v>609</v>
      </c>
      <c r="E348" s="6" t="s">
        <v>700</v>
      </c>
      <c r="F348" s="6">
        <v>2</v>
      </c>
      <c r="G348" s="6"/>
      <c r="H348" s="6">
        <v>10</v>
      </c>
      <c r="I348" s="6"/>
      <c r="J348" s="6" t="str">
        <f>IF(I348&gt;formulas!$B$5,"yes","no")</f>
        <v>no</v>
      </c>
      <c r="K348" s="6" t="str">
        <f t="shared" si="15"/>
        <v>yes</v>
      </c>
      <c r="L348" s="6" t="str">
        <f>IF(COUNTIF('raw data'!$B$2:$B$501,B348)&gt;1,"Yes","No")</f>
        <v>Yes</v>
      </c>
      <c r="M348" t="str">
        <f t="shared" si="16"/>
        <v>no</v>
      </c>
      <c r="N348" t="str">
        <f t="shared" si="17"/>
        <v>No</v>
      </c>
      <c r="O348">
        <f>SUMIF('raw data'!B$2:B$501,B348,'raw data'!I$2:I$501)</f>
        <v>3196.8</v>
      </c>
      <c r="P348" t="str">
        <f>IF(OR(I348&lt;Visualization!$B$6,I348&gt;Visualization!$B$7),"Outlier","Normal")</f>
        <v>Normal</v>
      </c>
    </row>
    <row r="349" spans="1:16" x14ac:dyDescent="0.35">
      <c r="A349" s="6" t="s">
        <v>356</v>
      </c>
      <c r="B349" s="15">
        <v>45179</v>
      </c>
      <c r="C349" s="6" t="s">
        <v>525</v>
      </c>
      <c r="D349" s="6" t="s">
        <v>611</v>
      </c>
      <c r="E349" s="6" t="s">
        <v>695</v>
      </c>
      <c r="F349" s="6">
        <v>2</v>
      </c>
      <c r="G349" s="6">
        <v>299</v>
      </c>
      <c r="H349" s="6">
        <v>10</v>
      </c>
      <c r="I349" s="6">
        <v>538.20000000000005</v>
      </c>
      <c r="J349" s="6" t="str">
        <f>IF(I349&gt;formulas!$B$5,"yes","no")</f>
        <v>no</v>
      </c>
      <c r="K349" s="6" t="str">
        <f t="shared" si="15"/>
        <v>yes</v>
      </c>
      <c r="L349" s="6" t="str">
        <f>IF(COUNTIF('raw data'!$B$2:$B$501,B349)&gt;1,"Yes","No")</f>
        <v>Yes</v>
      </c>
      <c r="M349" t="str">
        <f t="shared" si="16"/>
        <v>no</v>
      </c>
      <c r="N349" t="str">
        <f t="shared" si="17"/>
        <v>No</v>
      </c>
      <c r="O349">
        <f>SUMIF('raw data'!B$2:B$501,B349,'raw data'!I$2:I$501)</f>
        <v>717.30000000000007</v>
      </c>
      <c r="P349" t="str">
        <f>IF(OR(I349&lt;Visualization!$B$6,I349&gt;Visualization!$B$7),"Outlier","Normal")</f>
        <v>Outlier</v>
      </c>
    </row>
    <row r="350" spans="1:16" x14ac:dyDescent="0.35">
      <c r="A350" s="6" t="s">
        <v>357</v>
      </c>
      <c r="B350" s="15">
        <v>45087</v>
      </c>
      <c r="C350" s="6" t="s">
        <v>557</v>
      </c>
      <c r="D350" s="6" t="s">
        <v>609</v>
      </c>
      <c r="E350" s="6" t="s">
        <v>690</v>
      </c>
      <c r="F350" s="6">
        <v>2</v>
      </c>
      <c r="G350" s="6">
        <v>199</v>
      </c>
      <c r="H350" s="6"/>
      <c r="I350" s="6">
        <v>398</v>
      </c>
      <c r="J350" s="6" t="str">
        <f>IF(I350&gt;formulas!$B$5,"yes","no")</f>
        <v>no</v>
      </c>
      <c r="K350" s="6" t="str">
        <f t="shared" si="15"/>
        <v>no</v>
      </c>
      <c r="L350" s="6" t="str">
        <f>IF(COUNTIF('raw data'!$B$2:$B$501,B350)&gt;1,"Yes","No")</f>
        <v>Yes</v>
      </c>
      <c r="M350" t="str">
        <f t="shared" si="16"/>
        <v>no</v>
      </c>
      <c r="N350" t="str">
        <f t="shared" si="17"/>
        <v>No</v>
      </c>
      <c r="O350">
        <f>SUMIF('raw data'!B$2:B$501,B350,'raw data'!I$2:I$501)</f>
        <v>9893</v>
      </c>
      <c r="P350" t="str">
        <f>IF(OR(I350&lt;Visualization!$B$6,I350&gt;Visualization!$B$7),"Outlier","Normal")</f>
        <v>Outlier</v>
      </c>
    </row>
    <row r="351" spans="1:16" x14ac:dyDescent="0.35">
      <c r="A351" s="6" t="s">
        <v>358</v>
      </c>
      <c r="B351" s="15">
        <v>45182</v>
      </c>
      <c r="C351" s="6" t="s">
        <v>513</v>
      </c>
      <c r="D351" s="6" t="s">
        <v>613</v>
      </c>
      <c r="E351" s="6" t="s">
        <v>665</v>
      </c>
      <c r="F351" s="6">
        <v>1</v>
      </c>
      <c r="G351" s="6">
        <v>299</v>
      </c>
      <c r="H351" s="6">
        <v>10</v>
      </c>
      <c r="I351" s="6">
        <v>269.10000000000002</v>
      </c>
      <c r="J351" s="6" t="str">
        <f>IF(I351&gt;formulas!$B$5,"yes","no")</f>
        <v>no</v>
      </c>
      <c r="K351" s="6" t="str">
        <f t="shared" si="15"/>
        <v>yes</v>
      </c>
      <c r="L351" s="6" t="str">
        <f>IF(COUNTIF('raw data'!$B$2:$B$501,B351)&gt;1,"Yes","No")</f>
        <v>No</v>
      </c>
      <c r="M351" t="str">
        <f t="shared" si="16"/>
        <v>no</v>
      </c>
      <c r="N351" t="str">
        <f t="shared" si="17"/>
        <v>No</v>
      </c>
      <c r="O351">
        <f>SUMIF('raw data'!B$2:B$501,B351,'raw data'!I$2:I$501)</f>
        <v>269.10000000000002</v>
      </c>
      <c r="P351" t="str">
        <f>IF(OR(I351&lt;Visualization!$B$6,I351&gt;Visualization!$B$7),"Outlier","Normal")</f>
        <v>Outlier</v>
      </c>
    </row>
    <row r="352" spans="1:16" x14ac:dyDescent="0.35">
      <c r="A352" s="6" t="s">
        <v>359</v>
      </c>
      <c r="B352" s="15">
        <v>45249</v>
      </c>
      <c r="C352" s="6" t="s">
        <v>606</v>
      </c>
      <c r="D352" s="6" t="s">
        <v>610</v>
      </c>
      <c r="E352" s="6" t="s">
        <v>638</v>
      </c>
      <c r="F352" s="6">
        <v>2</v>
      </c>
      <c r="G352" s="6">
        <v>299</v>
      </c>
      <c r="H352" s="6">
        <v>0</v>
      </c>
      <c r="I352" s="6">
        <v>598</v>
      </c>
      <c r="J352" s="6" t="str">
        <f>IF(I352&gt;formulas!$B$5,"yes","no")</f>
        <v>no</v>
      </c>
      <c r="K352" s="6" t="str">
        <f t="shared" si="15"/>
        <v>no</v>
      </c>
      <c r="L352" s="6" t="str">
        <f>IF(COUNTIF('raw data'!$B$2:$B$501,B352)&gt;1,"Yes","No")</f>
        <v>Yes</v>
      </c>
      <c r="M352" t="str">
        <f t="shared" si="16"/>
        <v>no</v>
      </c>
      <c r="N352" t="str">
        <f t="shared" si="17"/>
        <v>No</v>
      </c>
      <c r="O352">
        <f>SUMIF('raw data'!B$2:B$501,B352,'raw data'!I$2:I$501)</f>
        <v>2095</v>
      </c>
      <c r="P352" t="str">
        <f>IF(OR(I352&lt;Visualization!$B$6,I352&gt;Visualization!$B$7),"Outlier","Normal")</f>
        <v>Outlier</v>
      </c>
    </row>
    <row r="353" spans="1:16" x14ac:dyDescent="0.35">
      <c r="A353" s="6" t="s">
        <v>360</v>
      </c>
      <c r="B353" s="15">
        <v>45054</v>
      </c>
      <c r="C353" s="6" t="s">
        <v>570</v>
      </c>
      <c r="D353" s="6" t="s">
        <v>609</v>
      </c>
      <c r="E353" s="6" t="s">
        <v>622</v>
      </c>
      <c r="F353" s="6"/>
      <c r="G353" s="6">
        <v>999</v>
      </c>
      <c r="H353" s="6">
        <v>0</v>
      </c>
      <c r="I353" s="6"/>
      <c r="J353" s="6" t="str">
        <f>IF(I353&gt;formulas!$B$5,"yes","no")</f>
        <v>no</v>
      </c>
      <c r="K353" s="6" t="str">
        <f t="shared" si="15"/>
        <v>no</v>
      </c>
      <c r="L353" s="6" t="str">
        <f>IF(COUNTIF('raw data'!$B$2:$B$501,B353)&gt;1,"Yes","No")</f>
        <v>Yes</v>
      </c>
      <c r="M353" t="str">
        <f t="shared" si="16"/>
        <v>no</v>
      </c>
      <c r="N353" t="str">
        <f t="shared" si="17"/>
        <v>No</v>
      </c>
      <c r="O353">
        <f>SUMIF('raw data'!B$2:B$501,B353,'raw data'!I$2:I$501)</f>
        <v>1897</v>
      </c>
      <c r="P353" t="str">
        <f>IF(OR(I353&lt;Visualization!$B$6,I353&gt;Visualization!$B$7),"Outlier","Normal")</f>
        <v>Normal</v>
      </c>
    </row>
    <row r="354" spans="1:16" x14ac:dyDescent="0.35">
      <c r="A354" s="6" t="s">
        <v>361</v>
      </c>
      <c r="B354" s="15">
        <v>44944</v>
      </c>
      <c r="C354" s="6" t="s">
        <v>537</v>
      </c>
      <c r="D354" s="6" t="s">
        <v>612</v>
      </c>
      <c r="E354" s="6" t="s">
        <v>701</v>
      </c>
      <c r="F354" s="6">
        <v>1</v>
      </c>
      <c r="G354" s="6">
        <v>299</v>
      </c>
      <c r="H354" s="6"/>
      <c r="I354" s="6">
        <v>299</v>
      </c>
      <c r="J354" s="6" t="str">
        <f>IF(I354&gt;formulas!$B$5,"yes","no")</f>
        <v>no</v>
      </c>
      <c r="K354" s="6" t="str">
        <f t="shared" si="15"/>
        <v>no</v>
      </c>
      <c r="L354" s="6" t="str">
        <f>IF(COUNTIF('raw data'!$B$2:$B$501,B354)&gt;1,"Yes","No")</f>
        <v>No</v>
      </c>
      <c r="M354" t="str">
        <f t="shared" si="16"/>
        <v>no</v>
      </c>
      <c r="N354" t="str">
        <f t="shared" si="17"/>
        <v>No</v>
      </c>
      <c r="O354">
        <f>SUMIF('raw data'!B$2:B$501,B354,'raw data'!I$2:I$501)</f>
        <v>299</v>
      </c>
      <c r="P354" t="str">
        <f>IF(OR(I354&lt;Visualization!$B$6,I354&gt;Visualization!$B$7),"Outlier","Normal")</f>
        <v>Outlier</v>
      </c>
    </row>
    <row r="355" spans="1:16" x14ac:dyDescent="0.35">
      <c r="A355" s="6" t="s">
        <v>362</v>
      </c>
      <c r="B355" s="15">
        <v>45207</v>
      </c>
      <c r="C355" s="6" t="s">
        <v>595</v>
      </c>
      <c r="D355" s="6" t="s">
        <v>613</v>
      </c>
      <c r="E355" s="6" t="s">
        <v>627</v>
      </c>
      <c r="F355" s="6">
        <v>1</v>
      </c>
      <c r="G355" s="6">
        <v>299</v>
      </c>
      <c r="H355" s="6">
        <v>20</v>
      </c>
      <c r="I355" s="6">
        <v>239.2</v>
      </c>
      <c r="J355" s="6" t="str">
        <f>IF(I355&gt;formulas!$B$5,"yes","no")</f>
        <v>no</v>
      </c>
      <c r="K355" s="6" t="str">
        <f t="shared" si="15"/>
        <v>yes</v>
      </c>
      <c r="L355" s="6" t="str">
        <f>IF(COUNTIF('raw data'!$B$2:$B$501,B355)&gt;1,"Yes","No")</f>
        <v>No</v>
      </c>
      <c r="M355" t="str">
        <f t="shared" si="16"/>
        <v>yes</v>
      </c>
      <c r="N355" t="str">
        <f t="shared" si="17"/>
        <v>No</v>
      </c>
      <c r="O355">
        <f>SUMIF('raw data'!B$2:B$501,B355,'raw data'!I$2:I$501)</f>
        <v>239.2</v>
      </c>
      <c r="P355" t="str">
        <f>IF(OR(I355&lt;Visualization!$B$6,I355&gt;Visualization!$B$7),"Outlier","Normal")</f>
        <v>Outlier</v>
      </c>
    </row>
    <row r="356" spans="1:16" x14ac:dyDescent="0.35">
      <c r="A356" s="6" t="s">
        <v>363</v>
      </c>
      <c r="B356" s="15">
        <v>45149</v>
      </c>
      <c r="C356" s="6" t="s">
        <v>573</v>
      </c>
      <c r="D356" s="6" t="s">
        <v>613</v>
      </c>
      <c r="E356" s="6" t="s">
        <v>708</v>
      </c>
      <c r="F356" s="6">
        <v>2</v>
      </c>
      <c r="G356" s="6">
        <v>499</v>
      </c>
      <c r="H356" s="6">
        <v>5</v>
      </c>
      <c r="I356" s="6">
        <v>948.09999999999991</v>
      </c>
      <c r="J356" s="6" t="str">
        <f>IF(I356&gt;formulas!$B$5,"yes","no")</f>
        <v>no</v>
      </c>
      <c r="K356" s="6" t="str">
        <f t="shared" si="15"/>
        <v>yes</v>
      </c>
      <c r="L356" s="6" t="str">
        <f>IF(COUNTIF('raw data'!$B$2:$B$501,B356)&gt;1,"Yes","No")</f>
        <v>Yes</v>
      </c>
      <c r="M356" t="str">
        <f t="shared" si="16"/>
        <v>no</v>
      </c>
      <c r="N356" t="str">
        <f t="shared" si="17"/>
        <v>No</v>
      </c>
      <c r="O356">
        <f>SUMIF('raw data'!B$2:B$501,B356,'raw data'!I$2:I$501)</f>
        <v>6045.5499999999993</v>
      </c>
      <c r="P356" t="str">
        <f>IF(OR(I356&lt;Visualization!$B$6,I356&gt;Visualization!$B$7),"Outlier","Normal")</f>
        <v>Outlier</v>
      </c>
    </row>
    <row r="357" spans="1:16" x14ac:dyDescent="0.35">
      <c r="A357" s="6" t="s">
        <v>364</v>
      </c>
      <c r="B357" s="15">
        <v>44980</v>
      </c>
      <c r="C357" s="6" t="s">
        <v>581</v>
      </c>
      <c r="D357" s="6" t="s">
        <v>609</v>
      </c>
      <c r="E357" s="6" t="s">
        <v>645</v>
      </c>
      <c r="F357" s="6">
        <v>4</v>
      </c>
      <c r="G357" s="6">
        <v>199</v>
      </c>
      <c r="H357" s="6">
        <v>15</v>
      </c>
      <c r="I357" s="6">
        <v>676.6</v>
      </c>
      <c r="J357" s="6" t="str">
        <f>IF(I357&gt;formulas!$B$5,"yes","no")</f>
        <v>no</v>
      </c>
      <c r="K357" s="6" t="str">
        <f t="shared" si="15"/>
        <v>yes</v>
      </c>
      <c r="L357" s="6" t="str">
        <f>IF(COUNTIF('raw data'!$B$2:$B$501,B357)&gt;1,"Yes","No")</f>
        <v>Yes</v>
      </c>
      <c r="M357" t="str">
        <f t="shared" si="16"/>
        <v>no</v>
      </c>
      <c r="N357" t="str">
        <f t="shared" si="17"/>
        <v>No</v>
      </c>
      <c r="O357">
        <f>SUMIF('raw data'!B$2:B$501,B357,'raw data'!I$2:I$501)</f>
        <v>6687.6</v>
      </c>
      <c r="P357" t="str">
        <f>IF(OR(I357&lt;Visualization!$B$6,I357&gt;Visualization!$B$7),"Outlier","Normal")</f>
        <v>Outlier</v>
      </c>
    </row>
    <row r="358" spans="1:16" x14ac:dyDescent="0.35">
      <c r="A358" s="6" t="s">
        <v>365</v>
      </c>
      <c r="B358" s="15">
        <v>44984</v>
      </c>
      <c r="C358" s="6" t="s">
        <v>592</v>
      </c>
      <c r="D358" s="6" t="s">
        <v>609</v>
      </c>
      <c r="E358" s="6" t="s">
        <v>699</v>
      </c>
      <c r="F358" s="6">
        <v>3</v>
      </c>
      <c r="G358" s="6">
        <v>499</v>
      </c>
      <c r="H358" s="6">
        <v>15</v>
      </c>
      <c r="I358" s="6">
        <v>1272.45</v>
      </c>
      <c r="J358" s="6" t="str">
        <f>IF(I358&gt;formulas!$B$5,"yes","no")</f>
        <v>no</v>
      </c>
      <c r="K358" s="6" t="str">
        <f t="shared" si="15"/>
        <v>yes</v>
      </c>
      <c r="L358" s="6" t="str">
        <f>IF(COUNTIF('raw data'!$B$2:$B$501,B358)&gt;1,"Yes","No")</f>
        <v>Yes</v>
      </c>
      <c r="M358" t="str">
        <f t="shared" si="16"/>
        <v>no</v>
      </c>
      <c r="N358" t="str">
        <f t="shared" si="17"/>
        <v>No</v>
      </c>
      <c r="O358">
        <f>SUMIF('raw data'!B$2:B$501,B358,'raw data'!I$2:I$501)</f>
        <v>3869.8500000000004</v>
      </c>
      <c r="P358" t="str">
        <f>IF(OR(I358&lt;Visualization!$B$6,I358&gt;Visualization!$B$7),"Outlier","Normal")</f>
        <v>Outlier</v>
      </c>
    </row>
    <row r="359" spans="1:16" x14ac:dyDescent="0.35">
      <c r="A359" s="6" t="s">
        <v>366</v>
      </c>
      <c r="B359" s="15">
        <v>45249</v>
      </c>
      <c r="C359" s="6" t="s">
        <v>521</v>
      </c>
      <c r="D359" s="6" t="s">
        <v>610</v>
      </c>
      <c r="E359" s="6" t="s">
        <v>616</v>
      </c>
      <c r="F359" s="6">
        <v>3</v>
      </c>
      <c r="G359" s="6">
        <v>499</v>
      </c>
      <c r="H359" s="6"/>
      <c r="I359" s="6">
        <v>1497</v>
      </c>
      <c r="J359" s="6" t="str">
        <f>IF(I359&gt;formulas!$B$5,"yes","no")</f>
        <v>yes</v>
      </c>
      <c r="K359" s="6" t="str">
        <f t="shared" si="15"/>
        <v>no</v>
      </c>
      <c r="L359" s="6" t="str">
        <f>IF(COUNTIF('raw data'!$B$2:$B$501,B359)&gt;1,"Yes","No")</f>
        <v>Yes</v>
      </c>
      <c r="M359" t="str">
        <f t="shared" si="16"/>
        <v>no</v>
      </c>
      <c r="N359" t="str">
        <f t="shared" si="17"/>
        <v>Yes</v>
      </c>
      <c r="O359">
        <f>SUMIF('raw data'!B$2:B$501,B359,'raw data'!I$2:I$501)</f>
        <v>2095</v>
      </c>
      <c r="P359" t="str">
        <f>IF(OR(I359&lt;Visualization!$B$6,I359&gt;Visualization!$B$7),"Outlier","Normal")</f>
        <v>Outlier</v>
      </c>
    </row>
    <row r="360" spans="1:16" x14ac:dyDescent="0.35">
      <c r="A360" s="6" t="s">
        <v>367</v>
      </c>
      <c r="B360" s="15">
        <v>45286</v>
      </c>
      <c r="C360" s="6" t="s">
        <v>541</v>
      </c>
      <c r="D360" s="6" t="s">
        <v>611</v>
      </c>
      <c r="E360" s="6" t="s">
        <v>658</v>
      </c>
      <c r="F360" s="6">
        <v>1</v>
      </c>
      <c r="G360" s="6"/>
      <c r="H360" s="6">
        <v>0</v>
      </c>
      <c r="I360" s="6"/>
      <c r="J360" s="6" t="str">
        <f>IF(I360&gt;formulas!$B$5,"yes","no")</f>
        <v>no</v>
      </c>
      <c r="K360" s="6" t="str">
        <f t="shared" si="15"/>
        <v>no</v>
      </c>
      <c r="L360" s="6" t="str">
        <f>IF(COUNTIF('raw data'!$B$2:$B$501,B360)&gt;1,"Yes","No")</f>
        <v>Yes</v>
      </c>
      <c r="M360" t="str">
        <f t="shared" si="16"/>
        <v>no</v>
      </c>
      <c r="N360" t="str">
        <f t="shared" si="17"/>
        <v>No</v>
      </c>
      <c r="O360">
        <f>SUMIF('raw data'!B$2:B$501,B360,'raw data'!I$2:I$501)</f>
        <v>11794.1</v>
      </c>
      <c r="P360" t="str">
        <f>IF(OR(I360&lt;Visualization!$B$6,I360&gt;Visualization!$B$7),"Outlier","Normal")</f>
        <v>Normal</v>
      </c>
    </row>
    <row r="361" spans="1:16" x14ac:dyDescent="0.35">
      <c r="A361" s="6" t="s">
        <v>368</v>
      </c>
      <c r="B361" s="15">
        <v>45100</v>
      </c>
      <c r="C361" s="6" t="s">
        <v>552</v>
      </c>
      <c r="D361" s="6" t="s">
        <v>609</v>
      </c>
      <c r="E361" s="6" t="s">
        <v>641</v>
      </c>
      <c r="F361" s="6">
        <v>3</v>
      </c>
      <c r="G361" s="6">
        <v>499</v>
      </c>
      <c r="H361" s="6">
        <v>15</v>
      </c>
      <c r="I361" s="6">
        <v>1272.45</v>
      </c>
      <c r="J361" s="6" t="str">
        <f>IF(I361&gt;formulas!$B$5,"yes","no")</f>
        <v>no</v>
      </c>
      <c r="K361" s="6" t="str">
        <f t="shared" si="15"/>
        <v>yes</v>
      </c>
      <c r="L361" s="6" t="str">
        <f>IF(COUNTIF('raw data'!$B$2:$B$501,B361)&gt;1,"Yes","No")</f>
        <v>No</v>
      </c>
      <c r="M361" t="str">
        <f t="shared" si="16"/>
        <v>no</v>
      </c>
      <c r="N361" t="str">
        <f t="shared" si="17"/>
        <v>No</v>
      </c>
      <c r="O361">
        <f>SUMIF('raw data'!B$2:B$501,B361,'raw data'!I$2:I$501)</f>
        <v>1272.45</v>
      </c>
      <c r="P361" t="str">
        <f>IF(OR(I361&lt;Visualization!$B$6,I361&gt;Visualization!$B$7),"Outlier","Normal")</f>
        <v>Outlier</v>
      </c>
    </row>
    <row r="362" spans="1:16" x14ac:dyDescent="0.35">
      <c r="A362" s="6" t="s">
        <v>369</v>
      </c>
      <c r="B362" s="15">
        <v>45206</v>
      </c>
      <c r="C362" s="6" t="s">
        <v>555</v>
      </c>
      <c r="D362" s="6" t="s">
        <v>609</v>
      </c>
      <c r="E362" s="6" t="s">
        <v>646</v>
      </c>
      <c r="F362" s="6">
        <v>2</v>
      </c>
      <c r="G362" s="6">
        <v>999</v>
      </c>
      <c r="H362" s="6">
        <v>0</v>
      </c>
      <c r="I362" s="6">
        <v>1998</v>
      </c>
      <c r="J362" s="6" t="str">
        <f>IF(I362&gt;formulas!$B$5,"yes","no")</f>
        <v>yes</v>
      </c>
      <c r="K362" s="6" t="str">
        <f t="shared" si="15"/>
        <v>no</v>
      </c>
      <c r="L362" s="6" t="str">
        <f>IF(COUNTIF('raw data'!$B$2:$B$501,B362)&gt;1,"Yes","No")</f>
        <v>Yes</v>
      </c>
      <c r="M362" t="str">
        <f t="shared" si="16"/>
        <v>no</v>
      </c>
      <c r="N362" t="str">
        <f t="shared" si="17"/>
        <v>Yes</v>
      </c>
      <c r="O362">
        <f>SUMIF('raw data'!B$2:B$501,B362,'raw data'!I$2:I$501)</f>
        <v>8893.6999999999989</v>
      </c>
      <c r="P362" t="str">
        <f>IF(OR(I362&lt;Visualization!$B$6,I362&gt;Visualization!$B$7),"Outlier","Normal")</f>
        <v>Outlier</v>
      </c>
    </row>
    <row r="363" spans="1:16" x14ac:dyDescent="0.35">
      <c r="A363" s="6" t="s">
        <v>370</v>
      </c>
      <c r="B363" s="15">
        <v>45040</v>
      </c>
      <c r="C363" s="6" t="s">
        <v>597</v>
      </c>
      <c r="D363" s="6" t="s">
        <v>612</v>
      </c>
      <c r="E363" s="6" t="s">
        <v>641</v>
      </c>
      <c r="F363" s="6">
        <v>4</v>
      </c>
      <c r="G363" s="6">
        <v>999</v>
      </c>
      <c r="H363" s="6">
        <v>20</v>
      </c>
      <c r="I363" s="6">
        <v>3196.8</v>
      </c>
      <c r="J363" s="6" t="str">
        <f>IF(I363&gt;formulas!$B$5,"yes","no")</f>
        <v>yes</v>
      </c>
      <c r="K363" s="6" t="str">
        <f t="shared" si="15"/>
        <v>yes</v>
      </c>
      <c r="L363" s="6" t="str">
        <f>IF(COUNTIF('raw data'!$B$2:$B$501,B363)&gt;1,"Yes","No")</f>
        <v>No</v>
      </c>
      <c r="M363" t="str">
        <f t="shared" si="16"/>
        <v>yes</v>
      </c>
      <c r="N363" t="str">
        <f t="shared" si="17"/>
        <v>No</v>
      </c>
      <c r="O363">
        <f>SUMIF('raw data'!B$2:B$501,B363,'raw data'!I$2:I$501)</f>
        <v>3196.8</v>
      </c>
      <c r="P363" t="str">
        <f>IF(OR(I363&lt;Visualization!$B$6,I363&gt;Visualization!$B$7),"Outlier","Normal")</f>
        <v>Outlier</v>
      </c>
    </row>
    <row r="364" spans="1:16" x14ac:dyDescent="0.35">
      <c r="A364" s="6" t="s">
        <v>371</v>
      </c>
      <c r="B364" s="15">
        <v>45214</v>
      </c>
      <c r="C364" s="6" t="s">
        <v>529</v>
      </c>
      <c r="D364" s="6" t="s">
        <v>613</v>
      </c>
      <c r="E364" s="6" t="s">
        <v>655</v>
      </c>
      <c r="F364" s="6">
        <v>3</v>
      </c>
      <c r="G364" s="6">
        <v>1999</v>
      </c>
      <c r="H364" s="6">
        <v>5</v>
      </c>
      <c r="I364" s="6">
        <v>5697.15</v>
      </c>
      <c r="J364" s="6" t="str">
        <f>IF(I364&gt;formulas!$B$5,"yes","no")</f>
        <v>yes</v>
      </c>
      <c r="K364" s="6" t="str">
        <f t="shared" si="15"/>
        <v>yes</v>
      </c>
      <c r="L364" s="6" t="str">
        <f>IF(COUNTIF('raw data'!$B$2:$B$501,B364)&gt;1,"Yes","No")</f>
        <v>Yes</v>
      </c>
      <c r="M364" t="str">
        <f t="shared" si="16"/>
        <v>no</v>
      </c>
      <c r="N364" t="str">
        <f t="shared" si="17"/>
        <v>Yes</v>
      </c>
      <c r="O364">
        <f>SUMIF('raw data'!B$2:B$501,B364,'raw data'!I$2:I$501)</f>
        <v>10493.95</v>
      </c>
      <c r="P364" t="str">
        <f>IF(OR(I364&lt;Visualization!$B$6,I364&gt;Visualization!$B$7),"Outlier","Normal")</f>
        <v>Outlier</v>
      </c>
    </row>
    <row r="365" spans="1:16" x14ac:dyDescent="0.35">
      <c r="A365" s="6" t="s">
        <v>372</v>
      </c>
      <c r="B365" s="15">
        <v>45268</v>
      </c>
      <c r="C365" s="6" t="s">
        <v>541</v>
      </c>
      <c r="D365" s="6" t="s">
        <v>611</v>
      </c>
      <c r="E365" s="6" t="s">
        <v>691</v>
      </c>
      <c r="F365" s="6">
        <v>1</v>
      </c>
      <c r="G365" s="6"/>
      <c r="H365" s="6">
        <v>20</v>
      </c>
      <c r="I365" s="6"/>
      <c r="J365" s="6" t="str">
        <f>IF(I365&gt;formulas!$B$5,"yes","no")</f>
        <v>no</v>
      </c>
      <c r="K365" s="6" t="str">
        <f t="shared" si="15"/>
        <v>yes</v>
      </c>
      <c r="L365" s="6" t="str">
        <f>IF(COUNTIF('raw data'!$B$2:$B$501,B365)&gt;1,"Yes","No")</f>
        <v>Yes</v>
      </c>
      <c r="M365" t="str">
        <f t="shared" si="16"/>
        <v>yes</v>
      </c>
      <c r="N365" t="str">
        <f t="shared" si="17"/>
        <v>No</v>
      </c>
      <c r="O365">
        <f>SUMIF('raw data'!B$2:B$501,B365,'raw data'!I$2:I$501)</f>
        <v>2998</v>
      </c>
      <c r="P365" t="str">
        <f>IF(OR(I365&lt;Visualization!$B$6,I365&gt;Visualization!$B$7),"Outlier","Normal")</f>
        <v>Normal</v>
      </c>
    </row>
    <row r="366" spans="1:16" x14ac:dyDescent="0.35">
      <c r="A366" s="6" t="s">
        <v>373</v>
      </c>
      <c r="B366" s="15">
        <v>45077</v>
      </c>
      <c r="C366" s="6" t="s">
        <v>569</v>
      </c>
      <c r="D366" s="6" t="s">
        <v>612</v>
      </c>
      <c r="E366" s="6" t="s">
        <v>652</v>
      </c>
      <c r="F366" s="6">
        <v>1</v>
      </c>
      <c r="G366" s="6">
        <v>1999</v>
      </c>
      <c r="H366" s="6"/>
      <c r="I366" s="6">
        <v>1999</v>
      </c>
      <c r="J366" s="6" t="str">
        <f>IF(I366&gt;formulas!$B$5,"yes","no")</f>
        <v>yes</v>
      </c>
      <c r="K366" s="6" t="str">
        <f t="shared" si="15"/>
        <v>no</v>
      </c>
      <c r="L366" s="6" t="str">
        <f>IF(COUNTIF('raw data'!$B$2:$B$501,B366)&gt;1,"Yes","No")</f>
        <v>Yes</v>
      </c>
      <c r="M366" t="str">
        <f t="shared" si="16"/>
        <v>no</v>
      </c>
      <c r="N366" t="str">
        <f t="shared" si="17"/>
        <v>Yes</v>
      </c>
      <c r="O366">
        <f>SUMIF('raw data'!B$2:B$501,B366,'raw data'!I$2:I$501)</f>
        <v>1999</v>
      </c>
      <c r="P366" t="str">
        <f>IF(OR(I366&lt;Visualization!$B$6,I366&gt;Visualization!$B$7),"Outlier","Normal")</f>
        <v>Outlier</v>
      </c>
    </row>
    <row r="367" spans="1:16" x14ac:dyDescent="0.35">
      <c r="A367" s="6" t="s">
        <v>374</v>
      </c>
      <c r="B367" s="15">
        <v>45053</v>
      </c>
      <c r="C367" s="6" t="s">
        <v>534</v>
      </c>
      <c r="D367" s="6" t="s">
        <v>610</v>
      </c>
      <c r="E367" s="6" t="s">
        <v>639</v>
      </c>
      <c r="F367" s="6">
        <v>0</v>
      </c>
      <c r="G367" s="6">
        <v>1999</v>
      </c>
      <c r="H367" s="6">
        <v>10</v>
      </c>
      <c r="I367" s="6">
        <v>0</v>
      </c>
      <c r="J367" s="6" t="str">
        <f>IF(I367&gt;formulas!$B$5,"yes","no")</f>
        <v>no</v>
      </c>
      <c r="K367" s="6" t="str">
        <f t="shared" si="15"/>
        <v>yes</v>
      </c>
      <c r="L367" s="6" t="str">
        <f>IF(COUNTIF('raw data'!$B$2:$B$501,B367)&gt;1,"Yes","No")</f>
        <v>Yes</v>
      </c>
      <c r="M367" t="str">
        <f t="shared" si="16"/>
        <v>no</v>
      </c>
      <c r="N367" t="str">
        <f t="shared" si="17"/>
        <v>No</v>
      </c>
      <c r="O367">
        <f>SUMIF('raw data'!B$2:B$501,B367,'raw data'!I$2:I$501)</f>
        <v>0</v>
      </c>
      <c r="P367" t="str">
        <f>IF(OR(I367&lt;Visualization!$B$6,I367&gt;Visualization!$B$7),"Outlier","Normal")</f>
        <v>Normal</v>
      </c>
    </row>
    <row r="368" spans="1:16" x14ac:dyDescent="0.35">
      <c r="A368" s="6" t="s">
        <v>375</v>
      </c>
      <c r="B368" s="15">
        <v>45081</v>
      </c>
      <c r="C368" s="6" t="s">
        <v>584</v>
      </c>
      <c r="D368" s="6" t="s">
        <v>610</v>
      </c>
      <c r="E368" s="6" t="s">
        <v>661</v>
      </c>
      <c r="F368" s="6">
        <v>2</v>
      </c>
      <c r="G368" s="6">
        <v>1499</v>
      </c>
      <c r="H368" s="6">
        <v>10</v>
      </c>
      <c r="I368" s="6">
        <v>2698.2</v>
      </c>
      <c r="J368" s="6" t="str">
        <f>IF(I368&gt;formulas!$B$5,"yes","no")</f>
        <v>yes</v>
      </c>
      <c r="K368" s="6" t="str">
        <f t="shared" si="15"/>
        <v>yes</v>
      </c>
      <c r="L368" s="6" t="str">
        <f>IF(COUNTIF('raw data'!$B$2:$B$501,B368)&gt;1,"Yes","No")</f>
        <v>No</v>
      </c>
      <c r="M368" t="str">
        <f t="shared" si="16"/>
        <v>no</v>
      </c>
      <c r="N368" t="str">
        <f t="shared" si="17"/>
        <v>No</v>
      </c>
      <c r="O368">
        <f>SUMIF('raw data'!B$2:B$501,B368,'raw data'!I$2:I$501)</f>
        <v>2698.2</v>
      </c>
      <c r="P368" t="str">
        <f>IF(OR(I368&lt;Visualization!$B$6,I368&gt;Visualization!$B$7),"Outlier","Normal")</f>
        <v>Outlier</v>
      </c>
    </row>
    <row r="369" spans="1:16" x14ac:dyDescent="0.35">
      <c r="A369" s="6" t="s">
        <v>376</v>
      </c>
      <c r="B369" s="15">
        <v>45199</v>
      </c>
      <c r="C369" s="6" t="s">
        <v>584</v>
      </c>
      <c r="D369" s="6" t="s">
        <v>609</v>
      </c>
      <c r="E369" s="6" t="s">
        <v>707</v>
      </c>
      <c r="F369" s="6">
        <v>1</v>
      </c>
      <c r="G369" s="6">
        <v>199</v>
      </c>
      <c r="H369" s="6">
        <v>10</v>
      </c>
      <c r="I369" s="6">
        <v>179.1</v>
      </c>
      <c r="J369" s="6" t="str">
        <f>IF(I369&gt;formulas!$B$5,"yes","no")</f>
        <v>no</v>
      </c>
      <c r="K369" s="6" t="str">
        <f t="shared" si="15"/>
        <v>yes</v>
      </c>
      <c r="L369" s="6" t="str">
        <f>IF(COUNTIF('raw data'!$B$2:$B$501,B369)&gt;1,"Yes","No")</f>
        <v>No</v>
      </c>
      <c r="M369" t="str">
        <f t="shared" si="16"/>
        <v>no</v>
      </c>
      <c r="N369" t="str">
        <f t="shared" si="17"/>
        <v>No</v>
      </c>
      <c r="O369">
        <f>SUMIF('raw data'!B$2:B$501,B369,'raw data'!I$2:I$501)</f>
        <v>179.1</v>
      </c>
      <c r="P369" t="str">
        <f>IF(OR(I369&lt;Visualization!$B$6,I369&gt;Visualization!$B$7),"Outlier","Normal")</f>
        <v>Outlier</v>
      </c>
    </row>
    <row r="370" spans="1:16" x14ac:dyDescent="0.35">
      <c r="A370" s="6" t="s">
        <v>377</v>
      </c>
      <c r="B370" s="15">
        <v>45030</v>
      </c>
      <c r="C370" s="6" t="s">
        <v>594</v>
      </c>
      <c r="D370" s="6" t="s">
        <v>609</v>
      </c>
      <c r="E370" s="6" t="s">
        <v>632</v>
      </c>
      <c r="F370" s="6">
        <v>3</v>
      </c>
      <c r="G370" s="6">
        <v>199</v>
      </c>
      <c r="H370" s="6">
        <v>20</v>
      </c>
      <c r="I370" s="6">
        <v>477.6</v>
      </c>
      <c r="J370" s="6" t="str">
        <f>IF(I370&gt;formulas!$B$5,"yes","no")</f>
        <v>no</v>
      </c>
      <c r="K370" s="6" t="str">
        <f t="shared" si="15"/>
        <v>yes</v>
      </c>
      <c r="L370" s="6" t="str">
        <f>IF(COUNTIF('raw data'!$B$2:$B$501,B370)&gt;1,"Yes","No")</f>
        <v>Yes</v>
      </c>
      <c r="M370" t="str">
        <f t="shared" si="16"/>
        <v>yes</v>
      </c>
      <c r="N370" t="str">
        <f t="shared" si="17"/>
        <v>No</v>
      </c>
      <c r="O370">
        <f>SUMIF('raw data'!B$2:B$501,B370,'raw data'!I$2:I$501)</f>
        <v>1826.6999999999998</v>
      </c>
      <c r="P370" t="str">
        <f>IF(OR(I370&lt;Visualization!$B$6,I370&gt;Visualization!$B$7),"Outlier","Normal")</f>
        <v>Outlier</v>
      </c>
    </row>
    <row r="371" spans="1:16" x14ac:dyDescent="0.35">
      <c r="A371" s="6" t="s">
        <v>378</v>
      </c>
      <c r="B371" s="15">
        <v>45225</v>
      </c>
      <c r="C371" s="6" t="s">
        <v>571</v>
      </c>
      <c r="D371" s="6" t="s">
        <v>610</v>
      </c>
      <c r="E371" s="6" t="s">
        <v>649</v>
      </c>
      <c r="F371" s="6">
        <v>2</v>
      </c>
      <c r="G371" s="6">
        <v>499</v>
      </c>
      <c r="H371" s="6">
        <v>15</v>
      </c>
      <c r="I371" s="6">
        <v>848.3</v>
      </c>
      <c r="J371" s="6" t="str">
        <f>IF(I371&gt;formulas!$B$5,"yes","no")</f>
        <v>no</v>
      </c>
      <c r="K371" s="6" t="str">
        <f t="shared" si="15"/>
        <v>yes</v>
      </c>
      <c r="L371" s="6" t="str">
        <f>IF(COUNTIF('raw data'!$B$2:$B$501,B371)&gt;1,"Yes","No")</f>
        <v>No</v>
      </c>
      <c r="M371" t="str">
        <f t="shared" si="16"/>
        <v>no</v>
      </c>
      <c r="N371" t="str">
        <f t="shared" si="17"/>
        <v>No</v>
      </c>
      <c r="O371">
        <f>SUMIF('raw data'!B$2:B$501,B371,'raw data'!I$2:I$501)</f>
        <v>848.3</v>
      </c>
      <c r="P371" t="str">
        <f>IF(OR(I371&lt;Visualization!$B$6,I371&gt;Visualization!$B$7),"Outlier","Normal")</f>
        <v>Outlier</v>
      </c>
    </row>
    <row r="372" spans="1:16" x14ac:dyDescent="0.35">
      <c r="A372" s="6" t="s">
        <v>379</v>
      </c>
      <c r="B372" s="15">
        <v>45172</v>
      </c>
      <c r="C372" s="6" t="s">
        <v>522</v>
      </c>
      <c r="D372" s="6" t="s">
        <v>609</v>
      </c>
      <c r="E372" s="6" t="s">
        <v>659</v>
      </c>
      <c r="F372" s="6">
        <v>1</v>
      </c>
      <c r="G372" s="6">
        <v>499</v>
      </c>
      <c r="H372" s="6">
        <v>5</v>
      </c>
      <c r="I372" s="6">
        <v>474.05</v>
      </c>
      <c r="J372" s="6" t="str">
        <f>IF(I372&gt;formulas!$B$5,"yes","no")</f>
        <v>no</v>
      </c>
      <c r="K372" s="6" t="str">
        <f t="shared" si="15"/>
        <v>yes</v>
      </c>
      <c r="L372" s="6" t="str">
        <f>IF(COUNTIF('raw data'!$B$2:$B$501,B372)&gt;1,"Yes","No")</f>
        <v>Yes</v>
      </c>
      <c r="M372" t="str">
        <f t="shared" si="16"/>
        <v>no</v>
      </c>
      <c r="N372" t="str">
        <f t="shared" si="17"/>
        <v>No</v>
      </c>
      <c r="O372">
        <f>SUMIF('raw data'!B$2:B$501,B372,'raw data'!I$2:I$501)</f>
        <v>3021.5</v>
      </c>
      <c r="P372" t="str">
        <f>IF(OR(I372&lt;Visualization!$B$6,I372&gt;Visualization!$B$7),"Outlier","Normal")</f>
        <v>Outlier</v>
      </c>
    </row>
    <row r="373" spans="1:16" x14ac:dyDescent="0.35">
      <c r="A373" s="6" t="s">
        <v>380</v>
      </c>
      <c r="B373" s="15">
        <v>45102</v>
      </c>
      <c r="C373" s="6" t="s">
        <v>551</v>
      </c>
      <c r="D373" s="6" t="s">
        <v>611</v>
      </c>
      <c r="E373" s="6" t="s">
        <v>625</v>
      </c>
      <c r="F373" s="6">
        <v>1</v>
      </c>
      <c r="G373" s="6">
        <v>1499</v>
      </c>
      <c r="H373" s="6">
        <v>10</v>
      </c>
      <c r="I373" s="6">
        <v>1349.1</v>
      </c>
      <c r="J373" s="6" t="str">
        <f>IF(I373&gt;formulas!$B$5,"yes","no")</f>
        <v>no</v>
      </c>
      <c r="K373" s="6" t="str">
        <f t="shared" si="15"/>
        <v>yes</v>
      </c>
      <c r="L373" s="6" t="str">
        <f>IF(COUNTIF('raw data'!$B$2:$B$501,B373)&gt;1,"Yes","No")</f>
        <v>Yes</v>
      </c>
      <c r="M373" t="str">
        <f t="shared" si="16"/>
        <v>no</v>
      </c>
      <c r="N373" t="str">
        <f t="shared" si="17"/>
        <v>No</v>
      </c>
      <c r="O373">
        <f>SUMIF('raw data'!B$2:B$501,B373,'raw data'!I$2:I$501)</f>
        <v>1633.1499999999999</v>
      </c>
      <c r="P373" t="str">
        <f>IF(OR(I373&lt;Visualization!$B$6,I373&gt;Visualization!$B$7),"Outlier","Normal")</f>
        <v>Outlier</v>
      </c>
    </row>
    <row r="374" spans="1:16" x14ac:dyDescent="0.35">
      <c r="A374" s="6" t="s">
        <v>381</v>
      </c>
      <c r="B374" s="15">
        <v>44965</v>
      </c>
      <c r="C374" s="6" t="s">
        <v>522</v>
      </c>
      <c r="D374" s="6" t="s">
        <v>609</v>
      </c>
      <c r="E374" s="6" t="s">
        <v>702</v>
      </c>
      <c r="F374" s="6">
        <v>1</v>
      </c>
      <c r="G374" s="6">
        <v>499</v>
      </c>
      <c r="H374" s="6"/>
      <c r="I374" s="6">
        <v>499</v>
      </c>
      <c r="J374" s="6" t="str">
        <f>IF(I374&gt;formulas!$B$5,"yes","no")</f>
        <v>no</v>
      </c>
      <c r="K374" s="6" t="str">
        <f t="shared" si="15"/>
        <v>no</v>
      </c>
      <c r="L374" s="6" t="str">
        <f>IF(COUNTIF('raw data'!$B$2:$B$501,B374)&gt;1,"Yes","No")</f>
        <v>Yes</v>
      </c>
      <c r="M374" t="str">
        <f t="shared" si="16"/>
        <v>no</v>
      </c>
      <c r="N374" t="str">
        <f t="shared" si="17"/>
        <v>No</v>
      </c>
      <c r="O374">
        <f>SUMIF('raw data'!B$2:B$501,B374,'raw data'!I$2:I$501)</f>
        <v>1737.2</v>
      </c>
      <c r="P374" t="str">
        <f>IF(OR(I374&lt;Visualization!$B$6,I374&gt;Visualization!$B$7),"Outlier","Normal")</f>
        <v>Outlier</v>
      </c>
    </row>
    <row r="375" spans="1:16" x14ac:dyDescent="0.35">
      <c r="A375" s="6" t="s">
        <v>382</v>
      </c>
      <c r="B375" s="15">
        <v>45096</v>
      </c>
      <c r="C375" s="6" t="s">
        <v>580</v>
      </c>
      <c r="D375" s="6" t="s">
        <v>613</v>
      </c>
      <c r="E375" s="6" t="s">
        <v>625</v>
      </c>
      <c r="F375" s="6">
        <v>4</v>
      </c>
      <c r="G375" s="6">
        <v>199</v>
      </c>
      <c r="H375" s="6"/>
      <c r="I375" s="6">
        <v>796</v>
      </c>
      <c r="J375" s="6" t="str">
        <f>IF(I375&gt;formulas!$B$5,"yes","no")</f>
        <v>no</v>
      </c>
      <c r="K375" s="6" t="str">
        <f t="shared" si="15"/>
        <v>no</v>
      </c>
      <c r="L375" s="6" t="str">
        <f>IF(COUNTIF('raw data'!$B$2:$B$501,B375)&gt;1,"Yes","No")</f>
        <v>Yes</v>
      </c>
      <c r="M375" t="str">
        <f t="shared" si="16"/>
        <v>no</v>
      </c>
      <c r="N375" t="str">
        <f t="shared" si="17"/>
        <v>No</v>
      </c>
      <c r="O375">
        <f>SUMIF('raw data'!B$2:B$501,B375,'raw data'!I$2:I$501)</f>
        <v>5689</v>
      </c>
      <c r="P375" t="str">
        <f>IF(OR(I375&lt;Visualization!$B$6,I375&gt;Visualization!$B$7),"Outlier","Normal")</f>
        <v>Outlier</v>
      </c>
    </row>
    <row r="376" spans="1:16" x14ac:dyDescent="0.35">
      <c r="A376" s="6" t="s">
        <v>383</v>
      </c>
      <c r="B376" s="15">
        <v>45173</v>
      </c>
      <c r="C376" s="6" t="s">
        <v>535</v>
      </c>
      <c r="D376" s="6" t="s">
        <v>609</v>
      </c>
      <c r="E376" s="6" t="s">
        <v>682</v>
      </c>
      <c r="F376" s="6">
        <v>1</v>
      </c>
      <c r="G376" s="6">
        <v>1999</v>
      </c>
      <c r="H376" s="6">
        <v>10</v>
      </c>
      <c r="I376" s="6">
        <v>1799.1</v>
      </c>
      <c r="J376" s="6" t="str">
        <f>IF(I376&gt;formulas!$B$5,"yes","no")</f>
        <v>yes</v>
      </c>
      <c r="K376" s="6" t="str">
        <f t="shared" si="15"/>
        <v>yes</v>
      </c>
      <c r="L376" s="6" t="str">
        <f>IF(COUNTIF('raw data'!$B$2:$B$501,B376)&gt;1,"Yes","No")</f>
        <v>Yes</v>
      </c>
      <c r="M376" t="str">
        <f t="shared" si="16"/>
        <v>no</v>
      </c>
      <c r="N376" t="str">
        <f t="shared" si="17"/>
        <v>Yes</v>
      </c>
      <c r="O376">
        <f>SUMIF('raw data'!B$2:B$501,B376,'raw data'!I$2:I$501)</f>
        <v>3071.55</v>
      </c>
      <c r="P376" t="str">
        <f>IF(OR(I376&lt;Visualization!$B$6,I376&gt;Visualization!$B$7),"Outlier","Normal")</f>
        <v>Outlier</v>
      </c>
    </row>
    <row r="377" spans="1:16" x14ac:dyDescent="0.35">
      <c r="A377" s="6" t="s">
        <v>384</v>
      </c>
      <c r="B377" s="15">
        <v>44952</v>
      </c>
      <c r="C377" s="6" t="s">
        <v>511</v>
      </c>
      <c r="D377" s="6" t="s">
        <v>612</v>
      </c>
      <c r="E377" s="6" t="s">
        <v>699</v>
      </c>
      <c r="F377" s="6">
        <v>3</v>
      </c>
      <c r="G377" s="6">
        <v>299</v>
      </c>
      <c r="H377" s="6">
        <v>10</v>
      </c>
      <c r="I377" s="6">
        <v>807.30000000000007</v>
      </c>
      <c r="J377" s="6" t="str">
        <f>IF(I377&gt;formulas!$B$5,"yes","no")</f>
        <v>no</v>
      </c>
      <c r="K377" s="6" t="str">
        <f t="shared" si="15"/>
        <v>yes</v>
      </c>
      <c r="L377" s="6" t="str">
        <f>IF(COUNTIF('raw data'!$B$2:$B$501,B377)&gt;1,"Yes","No")</f>
        <v>No</v>
      </c>
      <c r="M377" t="str">
        <f t="shared" si="16"/>
        <v>no</v>
      </c>
      <c r="N377" t="str">
        <f t="shared" si="17"/>
        <v>No</v>
      </c>
      <c r="O377">
        <f>SUMIF('raw data'!B$2:B$501,B377,'raw data'!I$2:I$501)</f>
        <v>807.30000000000007</v>
      </c>
      <c r="P377" t="str">
        <f>IF(OR(I377&lt;Visualization!$B$6,I377&gt;Visualization!$B$7),"Outlier","Normal")</f>
        <v>Outlier</v>
      </c>
    </row>
    <row r="378" spans="1:16" x14ac:dyDescent="0.35">
      <c r="A378" s="6" t="s">
        <v>385</v>
      </c>
      <c r="B378" s="15">
        <v>45281</v>
      </c>
      <c r="C378" s="6" t="s">
        <v>516</v>
      </c>
      <c r="D378" s="6" t="s">
        <v>611</v>
      </c>
      <c r="E378" s="6" t="s">
        <v>702</v>
      </c>
      <c r="F378" s="6">
        <v>4</v>
      </c>
      <c r="G378" s="6">
        <v>999</v>
      </c>
      <c r="H378" s="6">
        <v>5</v>
      </c>
      <c r="I378" s="6">
        <v>3796.2</v>
      </c>
      <c r="J378" s="6" t="str">
        <f>IF(I378&gt;formulas!$B$5,"yes","no")</f>
        <v>yes</v>
      </c>
      <c r="K378" s="6" t="str">
        <f t="shared" si="15"/>
        <v>yes</v>
      </c>
      <c r="L378" s="6" t="str">
        <f>IF(COUNTIF('raw data'!$B$2:$B$501,B378)&gt;1,"Yes","No")</f>
        <v>Yes</v>
      </c>
      <c r="M378" t="str">
        <f t="shared" si="16"/>
        <v>no</v>
      </c>
      <c r="N378" t="str">
        <f t="shared" si="17"/>
        <v>Yes</v>
      </c>
      <c r="O378">
        <f>SUMIF('raw data'!B$2:B$501,B378,'raw data'!I$2:I$501)</f>
        <v>4195.3999999999996</v>
      </c>
      <c r="P378" t="str">
        <f>IF(OR(I378&lt;Visualization!$B$6,I378&gt;Visualization!$B$7),"Outlier","Normal")</f>
        <v>Outlier</v>
      </c>
    </row>
    <row r="379" spans="1:16" x14ac:dyDescent="0.35">
      <c r="A379" s="6" t="s">
        <v>386</v>
      </c>
      <c r="B379" s="15">
        <v>45232</v>
      </c>
      <c r="C379" s="6" t="s">
        <v>519</v>
      </c>
      <c r="D379" s="6" t="s">
        <v>612</v>
      </c>
      <c r="E379" s="6" t="s">
        <v>678</v>
      </c>
      <c r="F379" s="6">
        <v>3</v>
      </c>
      <c r="G379" s="6">
        <v>299</v>
      </c>
      <c r="H379" s="6">
        <v>10</v>
      </c>
      <c r="I379" s="6">
        <v>807.30000000000007</v>
      </c>
      <c r="J379" s="6" t="str">
        <f>IF(I379&gt;formulas!$B$5,"yes","no")</f>
        <v>no</v>
      </c>
      <c r="K379" s="6" t="str">
        <f t="shared" si="15"/>
        <v>yes</v>
      </c>
      <c r="L379" s="6" t="str">
        <f>IF(COUNTIF('raw data'!$B$2:$B$501,B379)&gt;1,"Yes","No")</f>
        <v>No</v>
      </c>
      <c r="M379" t="str">
        <f t="shared" si="16"/>
        <v>no</v>
      </c>
      <c r="N379" t="str">
        <f t="shared" si="17"/>
        <v>No</v>
      </c>
      <c r="O379">
        <f>SUMIF('raw data'!B$2:B$501,B379,'raw data'!I$2:I$501)</f>
        <v>807.30000000000007</v>
      </c>
      <c r="P379" t="str">
        <f>IF(OR(I379&lt;Visualization!$B$6,I379&gt;Visualization!$B$7),"Outlier","Normal")</f>
        <v>Outlier</v>
      </c>
    </row>
    <row r="380" spans="1:16" x14ac:dyDescent="0.35">
      <c r="A380" s="6" t="s">
        <v>387</v>
      </c>
      <c r="B380" s="15">
        <v>44939</v>
      </c>
      <c r="C380" s="6" t="s">
        <v>520</v>
      </c>
      <c r="D380" s="6" t="s">
        <v>612</v>
      </c>
      <c r="E380" s="6" t="s">
        <v>631</v>
      </c>
      <c r="F380" s="6">
        <v>4</v>
      </c>
      <c r="G380" s="6">
        <v>299</v>
      </c>
      <c r="H380" s="6">
        <v>5</v>
      </c>
      <c r="I380" s="6">
        <v>1136.2</v>
      </c>
      <c r="J380" s="6" t="str">
        <f>IF(I380&gt;formulas!$B$5,"yes","no")</f>
        <v>no</v>
      </c>
      <c r="K380" s="6" t="str">
        <f t="shared" si="15"/>
        <v>yes</v>
      </c>
      <c r="L380" s="6" t="str">
        <f>IF(COUNTIF('raw data'!$B$2:$B$501,B380)&gt;1,"Yes","No")</f>
        <v>Yes</v>
      </c>
      <c r="M380" t="str">
        <f t="shared" si="16"/>
        <v>no</v>
      </c>
      <c r="N380" t="str">
        <f t="shared" si="17"/>
        <v>No</v>
      </c>
      <c r="O380">
        <f>SUMIF('raw data'!B$2:B$501,B380,'raw data'!I$2:I$501)</f>
        <v>2085.25</v>
      </c>
      <c r="P380" t="str">
        <f>IF(OR(I380&lt;Visualization!$B$6,I380&gt;Visualization!$B$7),"Outlier","Normal")</f>
        <v>Outlier</v>
      </c>
    </row>
    <row r="381" spans="1:16" x14ac:dyDescent="0.35">
      <c r="A381" s="6" t="s">
        <v>388</v>
      </c>
      <c r="B381" s="15">
        <v>45242</v>
      </c>
      <c r="C381" s="6" t="s">
        <v>560</v>
      </c>
      <c r="D381" s="6" t="s">
        <v>613</v>
      </c>
      <c r="E381" s="6" t="s">
        <v>641</v>
      </c>
      <c r="F381" s="6">
        <v>2</v>
      </c>
      <c r="G381" s="6">
        <v>199</v>
      </c>
      <c r="H381" s="6"/>
      <c r="I381" s="6">
        <v>398</v>
      </c>
      <c r="J381" s="6" t="str">
        <f>IF(I381&gt;formulas!$B$5,"yes","no")</f>
        <v>no</v>
      </c>
      <c r="K381" s="6" t="str">
        <f t="shared" si="15"/>
        <v>no</v>
      </c>
      <c r="L381" s="6" t="str">
        <f>IF(COUNTIF('raw data'!$B$2:$B$501,B381)&gt;1,"Yes","No")</f>
        <v>Yes</v>
      </c>
      <c r="M381" t="str">
        <f t="shared" si="16"/>
        <v>no</v>
      </c>
      <c r="N381" t="str">
        <f t="shared" si="17"/>
        <v>No</v>
      </c>
      <c r="O381">
        <f>SUMIF('raw data'!B$2:B$501,B381,'raw data'!I$2:I$501)</f>
        <v>1397</v>
      </c>
      <c r="P381" t="str">
        <f>IF(OR(I381&lt;Visualization!$B$6,I381&gt;Visualization!$B$7),"Outlier","Normal")</f>
        <v>Outlier</v>
      </c>
    </row>
    <row r="382" spans="1:16" x14ac:dyDescent="0.35">
      <c r="A382" s="6" t="s">
        <v>389</v>
      </c>
      <c r="B382" s="15">
        <v>45239</v>
      </c>
      <c r="C382" s="6" t="s">
        <v>544</v>
      </c>
      <c r="D382" s="6" t="s">
        <v>611</v>
      </c>
      <c r="E382" s="6" t="s">
        <v>674</v>
      </c>
      <c r="F382" s="6"/>
      <c r="G382" s="6">
        <v>299</v>
      </c>
      <c r="H382" s="6">
        <v>10</v>
      </c>
      <c r="I382" s="6"/>
      <c r="J382" s="6" t="str">
        <f>IF(I382&gt;formulas!$B$5,"yes","no")</f>
        <v>no</v>
      </c>
      <c r="K382" s="6" t="str">
        <f t="shared" si="15"/>
        <v>yes</v>
      </c>
      <c r="L382" s="6" t="str">
        <f>IF(COUNTIF('raw data'!$B$2:$B$501,B382)&gt;1,"Yes","No")</f>
        <v>No</v>
      </c>
      <c r="M382" t="str">
        <f t="shared" si="16"/>
        <v>no</v>
      </c>
      <c r="N382" t="str">
        <f t="shared" si="17"/>
        <v>No</v>
      </c>
      <c r="O382">
        <f>SUMIF('raw data'!B$2:B$501,B382,'raw data'!I$2:I$501)</f>
        <v>0</v>
      </c>
      <c r="P382" t="str">
        <f>IF(OR(I382&lt;Visualization!$B$6,I382&gt;Visualization!$B$7),"Outlier","Normal")</f>
        <v>Normal</v>
      </c>
    </row>
    <row r="383" spans="1:16" x14ac:dyDescent="0.35">
      <c r="A383" s="6" t="s">
        <v>390</v>
      </c>
      <c r="B383" s="15">
        <v>44962</v>
      </c>
      <c r="C383" s="6" t="s">
        <v>578</v>
      </c>
      <c r="D383" s="6" t="s">
        <v>611</v>
      </c>
      <c r="E383" s="6" t="s">
        <v>695</v>
      </c>
      <c r="F383" s="6">
        <v>1</v>
      </c>
      <c r="G383" s="6">
        <v>1499</v>
      </c>
      <c r="H383" s="6">
        <v>20</v>
      </c>
      <c r="I383" s="6">
        <v>1199.2</v>
      </c>
      <c r="J383" s="6" t="str">
        <f>IF(I383&gt;formulas!$B$5,"yes","no")</f>
        <v>no</v>
      </c>
      <c r="K383" s="6" t="str">
        <f t="shared" si="15"/>
        <v>yes</v>
      </c>
      <c r="L383" s="6" t="str">
        <f>IF(COUNTIF('raw data'!$B$2:$B$501,B383)&gt;1,"Yes","No")</f>
        <v>Yes</v>
      </c>
      <c r="M383" t="str">
        <f t="shared" si="16"/>
        <v>yes</v>
      </c>
      <c r="N383" t="str">
        <f t="shared" si="17"/>
        <v>No</v>
      </c>
      <c r="O383">
        <f>SUMIF('raw data'!B$2:B$501,B383,'raw data'!I$2:I$501)</f>
        <v>2215.8000000000002</v>
      </c>
      <c r="P383" t="str">
        <f>IF(OR(I383&lt;Visualization!$B$6,I383&gt;Visualization!$B$7),"Outlier","Normal")</f>
        <v>Outlier</v>
      </c>
    </row>
    <row r="384" spans="1:16" x14ac:dyDescent="0.35">
      <c r="A384" s="6" t="s">
        <v>391</v>
      </c>
      <c r="B384" s="15">
        <v>45099</v>
      </c>
      <c r="C384" s="6" t="s">
        <v>550</v>
      </c>
      <c r="D384" s="6" t="s">
        <v>611</v>
      </c>
      <c r="E384" s="6" t="s">
        <v>700</v>
      </c>
      <c r="F384" s="6">
        <v>1</v>
      </c>
      <c r="G384" s="6"/>
      <c r="H384" s="6">
        <v>20</v>
      </c>
      <c r="I384" s="6"/>
      <c r="J384" s="6" t="str">
        <f>IF(I384&gt;formulas!$B$5,"yes","no")</f>
        <v>no</v>
      </c>
      <c r="K384" s="6" t="str">
        <f t="shared" si="15"/>
        <v>yes</v>
      </c>
      <c r="L384" s="6" t="str">
        <f>IF(COUNTIF('raw data'!$B$2:$B$501,B384)&gt;1,"Yes","No")</f>
        <v>No</v>
      </c>
      <c r="M384" t="str">
        <f t="shared" si="16"/>
        <v>yes</v>
      </c>
      <c r="N384" t="str">
        <f t="shared" si="17"/>
        <v>No</v>
      </c>
      <c r="O384">
        <f>SUMIF('raw data'!B$2:B$501,B384,'raw data'!I$2:I$501)</f>
        <v>0</v>
      </c>
      <c r="P384" t="str">
        <f>IF(OR(I384&lt;Visualization!$B$6,I384&gt;Visualization!$B$7),"Outlier","Normal")</f>
        <v>Normal</v>
      </c>
    </row>
    <row r="385" spans="1:16" x14ac:dyDescent="0.35">
      <c r="A385" s="6" t="s">
        <v>392</v>
      </c>
      <c r="B385" s="15">
        <v>44946</v>
      </c>
      <c r="C385" s="6" t="s">
        <v>510</v>
      </c>
      <c r="D385" s="6" t="s">
        <v>611</v>
      </c>
      <c r="E385" s="6" t="s">
        <v>640</v>
      </c>
      <c r="F385" s="6">
        <v>3</v>
      </c>
      <c r="G385" s="6">
        <v>499</v>
      </c>
      <c r="H385" s="6"/>
      <c r="I385" s="6">
        <v>1497</v>
      </c>
      <c r="J385" s="6" t="str">
        <f>IF(I385&gt;formulas!$B$5,"yes","no")</f>
        <v>yes</v>
      </c>
      <c r="K385" s="6" t="str">
        <f t="shared" si="15"/>
        <v>no</v>
      </c>
      <c r="L385" s="6" t="str">
        <f>IF(COUNTIF('raw data'!$B$2:$B$501,B385)&gt;1,"Yes","No")</f>
        <v>No</v>
      </c>
      <c r="M385" t="str">
        <f t="shared" si="16"/>
        <v>no</v>
      </c>
      <c r="N385" t="str">
        <f t="shared" si="17"/>
        <v>No</v>
      </c>
      <c r="O385">
        <f>SUMIF('raw data'!B$2:B$501,B385,'raw data'!I$2:I$501)</f>
        <v>1497</v>
      </c>
      <c r="P385" t="str">
        <f>IF(OR(I385&lt;Visualization!$B$6,I385&gt;Visualization!$B$7),"Outlier","Normal")</f>
        <v>Outlier</v>
      </c>
    </row>
    <row r="386" spans="1:16" x14ac:dyDescent="0.35">
      <c r="A386" s="6" t="s">
        <v>393</v>
      </c>
      <c r="B386" s="15">
        <v>45247</v>
      </c>
      <c r="C386" s="6" t="s">
        <v>576</v>
      </c>
      <c r="D386" s="6" t="s">
        <v>611</v>
      </c>
      <c r="E386" s="6" t="s">
        <v>639</v>
      </c>
      <c r="F386" s="6">
        <v>5</v>
      </c>
      <c r="G386" s="6"/>
      <c r="H386" s="6">
        <v>5</v>
      </c>
      <c r="I386" s="6"/>
      <c r="J386" s="6" t="str">
        <f>IF(I386&gt;formulas!$B$5,"yes","no")</f>
        <v>no</v>
      </c>
      <c r="K386" s="6" t="str">
        <f t="shared" si="15"/>
        <v>yes</v>
      </c>
      <c r="L386" s="6" t="str">
        <f>IF(COUNTIF('raw data'!$B$2:$B$501,B386)&gt;1,"Yes","No")</f>
        <v>No</v>
      </c>
      <c r="M386" t="str">
        <f t="shared" si="16"/>
        <v>no</v>
      </c>
      <c r="N386" t="str">
        <f t="shared" si="17"/>
        <v>No</v>
      </c>
      <c r="O386">
        <f>SUMIF('raw data'!B$2:B$501,B386,'raw data'!I$2:I$501)</f>
        <v>0</v>
      </c>
      <c r="P386" t="str">
        <f>IF(OR(I386&lt;Visualization!$B$6,I386&gt;Visualization!$B$7),"Outlier","Normal")</f>
        <v>Normal</v>
      </c>
    </row>
    <row r="387" spans="1:16" x14ac:dyDescent="0.35">
      <c r="A387" s="6" t="s">
        <v>394</v>
      </c>
      <c r="B387" s="15">
        <v>45190</v>
      </c>
      <c r="C387" s="6" t="s">
        <v>519</v>
      </c>
      <c r="D387" s="6" t="s">
        <v>613</v>
      </c>
      <c r="E387" s="6" t="s">
        <v>668</v>
      </c>
      <c r="F387" s="6">
        <v>4</v>
      </c>
      <c r="G387" s="6">
        <v>1999</v>
      </c>
      <c r="H387" s="6">
        <v>20</v>
      </c>
      <c r="I387" s="6">
        <v>6396.8</v>
      </c>
      <c r="J387" s="6" t="str">
        <f>IF(I387&gt;formulas!$B$5,"yes","no")</f>
        <v>yes</v>
      </c>
      <c r="K387" s="6" t="str">
        <f t="shared" ref="K387:K450" si="18">IF(H387&gt;0,"yes","no")</f>
        <v>yes</v>
      </c>
      <c r="L387" s="6" t="str">
        <f>IF(COUNTIF('raw data'!$B$2:$B$501,B387)&gt;1,"Yes","No")</f>
        <v>Yes</v>
      </c>
      <c r="M387" t="str">
        <f t="shared" ref="M387:M450" si="19">IF(H387&gt;15,"yes","no")</f>
        <v>yes</v>
      </c>
      <c r="N387" t="str">
        <f t="shared" ref="N387:N450" si="20">IF(AND(L387="Yes", J387="yes" ),"Yes","No")</f>
        <v>Yes</v>
      </c>
      <c r="O387">
        <f>SUMIF('raw data'!B$2:B$501,B387,'raw data'!I$2:I$501)</f>
        <v>10189.200000000001</v>
      </c>
      <c r="P387" t="str">
        <f>IF(OR(I387&lt;Visualization!$B$6,I387&gt;Visualization!$B$7),"Outlier","Normal")</f>
        <v>Outlier</v>
      </c>
    </row>
    <row r="388" spans="1:16" x14ac:dyDescent="0.35">
      <c r="A388" s="6" t="s">
        <v>395</v>
      </c>
      <c r="B388" s="15">
        <v>45068</v>
      </c>
      <c r="C388" s="6" t="s">
        <v>607</v>
      </c>
      <c r="D388" s="6" t="s">
        <v>609</v>
      </c>
      <c r="E388" s="6" t="s">
        <v>657</v>
      </c>
      <c r="F388" s="6">
        <v>1</v>
      </c>
      <c r="G388" s="6">
        <v>999</v>
      </c>
      <c r="H388" s="6">
        <v>5</v>
      </c>
      <c r="I388" s="6">
        <v>949.05</v>
      </c>
      <c r="J388" s="6" t="str">
        <f>IF(I388&gt;formulas!$B$5,"yes","no")</f>
        <v>no</v>
      </c>
      <c r="K388" s="6" t="str">
        <f t="shared" si="18"/>
        <v>yes</v>
      </c>
      <c r="L388" s="6" t="str">
        <f>IF(COUNTIF('raw data'!$B$2:$B$501,B388)&gt;1,"Yes","No")</f>
        <v>No</v>
      </c>
      <c r="M388" t="str">
        <f t="shared" si="19"/>
        <v>no</v>
      </c>
      <c r="N388" t="str">
        <f t="shared" si="20"/>
        <v>No</v>
      </c>
      <c r="O388">
        <f>SUMIF('raw data'!B$2:B$501,B388,'raw data'!I$2:I$501)</f>
        <v>949.05</v>
      </c>
      <c r="P388" t="str">
        <f>IF(OR(I388&lt;Visualization!$B$6,I388&gt;Visualization!$B$7),"Outlier","Normal")</f>
        <v>Outlier</v>
      </c>
    </row>
    <row r="389" spans="1:16" x14ac:dyDescent="0.35">
      <c r="A389" s="6" t="s">
        <v>396</v>
      </c>
      <c r="B389" s="15">
        <v>45069</v>
      </c>
      <c r="C389" s="6" t="s">
        <v>544</v>
      </c>
      <c r="D389" s="6" t="s">
        <v>612</v>
      </c>
      <c r="E389" s="6" t="s">
        <v>699</v>
      </c>
      <c r="F389" s="6">
        <v>1</v>
      </c>
      <c r="G389" s="6">
        <v>499</v>
      </c>
      <c r="H389" s="6">
        <v>20</v>
      </c>
      <c r="I389" s="6">
        <v>399.2</v>
      </c>
      <c r="J389" s="6" t="str">
        <f>IF(I389&gt;formulas!$B$5,"yes","no")</f>
        <v>no</v>
      </c>
      <c r="K389" s="6" t="str">
        <f t="shared" si="18"/>
        <v>yes</v>
      </c>
      <c r="L389" s="6" t="str">
        <f>IF(COUNTIF('raw data'!$B$2:$B$501,B389)&gt;1,"Yes","No")</f>
        <v>Yes</v>
      </c>
      <c r="M389" t="str">
        <f t="shared" si="19"/>
        <v>yes</v>
      </c>
      <c r="N389" t="str">
        <f t="shared" si="20"/>
        <v>No</v>
      </c>
      <c r="O389">
        <f>SUMIF('raw data'!B$2:B$501,B389,'raw data'!I$2:I$501)</f>
        <v>399.2</v>
      </c>
      <c r="P389" t="str">
        <f>IF(OR(I389&lt;Visualization!$B$6,I389&gt;Visualization!$B$7),"Outlier","Normal")</f>
        <v>Outlier</v>
      </c>
    </row>
    <row r="390" spans="1:16" x14ac:dyDescent="0.35">
      <c r="A390" s="6" t="s">
        <v>397</v>
      </c>
      <c r="B390" s="15">
        <v>45018</v>
      </c>
      <c r="C390" s="6" t="s">
        <v>585</v>
      </c>
      <c r="D390" s="6" t="s">
        <v>611</v>
      </c>
      <c r="E390" s="6" t="s">
        <v>650</v>
      </c>
      <c r="F390" s="6">
        <v>5</v>
      </c>
      <c r="G390" s="6">
        <v>299</v>
      </c>
      <c r="H390" s="6">
        <v>20</v>
      </c>
      <c r="I390" s="6">
        <v>1196</v>
      </c>
      <c r="J390" s="6" t="str">
        <f>IF(I390&gt;formulas!$B$5,"yes","no")</f>
        <v>no</v>
      </c>
      <c r="K390" s="6" t="str">
        <f t="shared" si="18"/>
        <v>yes</v>
      </c>
      <c r="L390" s="6" t="str">
        <f>IF(COUNTIF('raw data'!$B$2:$B$501,B390)&gt;1,"Yes","No")</f>
        <v>Yes</v>
      </c>
      <c r="M390" t="str">
        <f t="shared" si="19"/>
        <v>yes</v>
      </c>
      <c r="N390" t="str">
        <f t="shared" si="20"/>
        <v>No</v>
      </c>
      <c r="O390">
        <f>SUMIF('raw data'!B$2:B$501,B390,'raw data'!I$2:I$501)</f>
        <v>2892.6</v>
      </c>
      <c r="P390" t="str">
        <f>IF(OR(I390&lt;Visualization!$B$6,I390&gt;Visualization!$B$7),"Outlier","Normal")</f>
        <v>Outlier</v>
      </c>
    </row>
    <row r="391" spans="1:16" x14ac:dyDescent="0.35">
      <c r="A391" s="6" t="s">
        <v>398</v>
      </c>
      <c r="B391" s="15">
        <v>45280</v>
      </c>
      <c r="C391" s="6" t="s">
        <v>590</v>
      </c>
      <c r="D391" s="6" t="s">
        <v>609</v>
      </c>
      <c r="E391" s="6" t="s">
        <v>689</v>
      </c>
      <c r="F391" s="6">
        <v>1</v>
      </c>
      <c r="G391" s="6">
        <v>999</v>
      </c>
      <c r="H391" s="6">
        <v>5</v>
      </c>
      <c r="I391" s="6">
        <v>949.05</v>
      </c>
      <c r="J391" s="6" t="str">
        <f>IF(I391&gt;formulas!$B$5,"yes","no")</f>
        <v>no</v>
      </c>
      <c r="K391" s="6" t="str">
        <f t="shared" si="18"/>
        <v>yes</v>
      </c>
      <c r="L391" s="6" t="str">
        <f>IF(COUNTIF('raw data'!$B$2:$B$501,B391)&gt;1,"Yes","No")</f>
        <v>No</v>
      </c>
      <c r="M391" t="str">
        <f t="shared" si="19"/>
        <v>no</v>
      </c>
      <c r="N391" t="str">
        <f t="shared" si="20"/>
        <v>No</v>
      </c>
      <c r="O391">
        <f>SUMIF('raw data'!B$2:B$501,B391,'raw data'!I$2:I$501)</f>
        <v>949.05</v>
      </c>
      <c r="P391" t="str">
        <f>IF(OR(I391&lt;Visualization!$B$6,I391&gt;Visualization!$B$7),"Outlier","Normal")</f>
        <v>Outlier</v>
      </c>
    </row>
    <row r="392" spans="1:16" x14ac:dyDescent="0.35">
      <c r="A392" s="6" t="s">
        <v>399</v>
      </c>
      <c r="B392" s="15">
        <v>45248</v>
      </c>
      <c r="C392" s="6" t="s">
        <v>578</v>
      </c>
      <c r="D392" s="6" t="s">
        <v>609</v>
      </c>
      <c r="E392" s="6" t="s">
        <v>644</v>
      </c>
      <c r="F392" s="6">
        <v>4</v>
      </c>
      <c r="G392" s="6">
        <v>499</v>
      </c>
      <c r="H392" s="6">
        <v>15</v>
      </c>
      <c r="I392" s="6">
        <v>1696.6</v>
      </c>
      <c r="J392" s="6" t="str">
        <f>IF(I392&gt;formulas!$B$5,"yes","no")</f>
        <v>yes</v>
      </c>
      <c r="K392" s="6" t="str">
        <f t="shared" si="18"/>
        <v>yes</v>
      </c>
      <c r="L392" s="6" t="str">
        <f>IF(COUNTIF('raw data'!$B$2:$B$501,B392)&gt;1,"Yes","No")</f>
        <v>No</v>
      </c>
      <c r="M392" t="str">
        <f t="shared" si="19"/>
        <v>no</v>
      </c>
      <c r="N392" t="str">
        <f t="shared" si="20"/>
        <v>No</v>
      </c>
      <c r="O392">
        <f>SUMIF('raw data'!B$2:B$501,B392,'raw data'!I$2:I$501)</f>
        <v>1696.6</v>
      </c>
      <c r="P392" t="str">
        <f>IF(OR(I392&lt;Visualization!$B$6,I392&gt;Visualization!$B$7),"Outlier","Normal")</f>
        <v>Outlier</v>
      </c>
    </row>
    <row r="393" spans="1:16" x14ac:dyDescent="0.35">
      <c r="A393" s="6" t="s">
        <v>400</v>
      </c>
      <c r="B393" s="15">
        <v>45214</v>
      </c>
      <c r="C393" s="6" t="s">
        <v>515</v>
      </c>
      <c r="D393" s="6" t="s">
        <v>612</v>
      </c>
      <c r="E393" s="6" t="s">
        <v>689</v>
      </c>
      <c r="F393" s="6">
        <v>4</v>
      </c>
      <c r="G393" s="6">
        <v>1499</v>
      </c>
      <c r="H393" s="6">
        <v>20</v>
      </c>
      <c r="I393" s="6">
        <v>4796.8</v>
      </c>
      <c r="J393" s="6" t="str">
        <f>IF(I393&gt;formulas!$B$5,"yes","no")</f>
        <v>yes</v>
      </c>
      <c r="K393" s="6" t="str">
        <f t="shared" si="18"/>
        <v>yes</v>
      </c>
      <c r="L393" s="6" t="str">
        <f>IF(COUNTIF('raw data'!$B$2:$B$501,B393)&gt;1,"Yes","No")</f>
        <v>Yes</v>
      </c>
      <c r="M393" t="str">
        <f t="shared" si="19"/>
        <v>yes</v>
      </c>
      <c r="N393" t="str">
        <f t="shared" si="20"/>
        <v>Yes</v>
      </c>
      <c r="O393">
        <f>SUMIF('raw data'!B$2:B$501,B393,'raw data'!I$2:I$501)</f>
        <v>10493.95</v>
      </c>
      <c r="P393" t="str">
        <f>IF(OR(I393&lt;Visualization!$B$6,I393&gt;Visualization!$B$7),"Outlier","Normal")</f>
        <v>Outlier</v>
      </c>
    </row>
    <row r="394" spans="1:16" x14ac:dyDescent="0.35">
      <c r="A394" s="6" t="s">
        <v>401</v>
      </c>
      <c r="B394" s="15">
        <v>45141</v>
      </c>
      <c r="C394" s="6" t="s">
        <v>533</v>
      </c>
      <c r="D394" s="6" t="s">
        <v>613</v>
      </c>
      <c r="E394" s="6" t="s">
        <v>653</v>
      </c>
      <c r="F394" s="6">
        <v>2</v>
      </c>
      <c r="G394" s="6">
        <v>1499</v>
      </c>
      <c r="H394" s="6">
        <v>10</v>
      </c>
      <c r="I394" s="6">
        <v>2698.2</v>
      </c>
      <c r="J394" s="6" t="str">
        <f>IF(I394&gt;formulas!$B$5,"yes","no")</f>
        <v>yes</v>
      </c>
      <c r="K394" s="6" t="str">
        <f t="shared" si="18"/>
        <v>yes</v>
      </c>
      <c r="L394" s="6" t="str">
        <f>IF(COUNTIF('raw data'!$B$2:$B$501,B394)&gt;1,"Yes","No")</f>
        <v>Yes</v>
      </c>
      <c r="M394" t="str">
        <f t="shared" si="19"/>
        <v>no</v>
      </c>
      <c r="N394" t="str">
        <f t="shared" si="20"/>
        <v>Yes</v>
      </c>
      <c r="O394">
        <f>SUMIF('raw data'!B$2:B$501,B394,'raw data'!I$2:I$501)</f>
        <v>4252.3999999999996</v>
      </c>
      <c r="P394" t="str">
        <f>IF(OR(I394&lt;Visualization!$B$6,I394&gt;Visualization!$B$7),"Outlier","Normal")</f>
        <v>Outlier</v>
      </c>
    </row>
    <row r="395" spans="1:16" x14ac:dyDescent="0.35">
      <c r="A395" s="6" t="s">
        <v>402</v>
      </c>
      <c r="B395" s="15">
        <v>45268</v>
      </c>
      <c r="C395" s="6" t="s">
        <v>530</v>
      </c>
      <c r="D395" s="6" t="s">
        <v>610</v>
      </c>
      <c r="E395" s="6" t="s">
        <v>628</v>
      </c>
      <c r="F395" s="6">
        <v>2</v>
      </c>
      <c r="G395" s="6">
        <v>1499</v>
      </c>
      <c r="H395" s="6"/>
      <c r="I395" s="6">
        <v>2998</v>
      </c>
      <c r="J395" s="6" t="str">
        <f>IF(I395&gt;formulas!$B$5,"yes","no")</f>
        <v>yes</v>
      </c>
      <c r="K395" s="6" t="str">
        <f t="shared" si="18"/>
        <v>no</v>
      </c>
      <c r="L395" s="6" t="str">
        <f>IF(COUNTIF('raw data'!$B$2:$B$501,B395)&gt;1,"Yes","No")</f>
        <v>Yes</v>
      </c>
      <c r="M395" t="str">
        <f t="shared" si="19"/>
        <v>no</v>
      </c>
      <c r="N395" t="str">
        <f t="shared" si="20"/>
        <v>Yes</v>
      </c>
      <c r="O395">
        <f>SUMIF('raw data'!B$2:B$501,B395,'raw data'!I$2:I$501)</f>
        <v>2998</v>
      </c>
      <c r="P395" t="str">
        <f>IF(OR(I395&lt;Visualization!$B$6,I395&gt;Visualization!$B$7),"Outlier","Normal")</f>
        <v>Outlier</v>
      </c>
    </row>
    <row r="396" spans="1:16" x14ac:dyDescent="0.35">
      <c r="A396" s="6" t="s">
        <v>403</v>
      </c>
      <c r="B396" s="15">
        <v>44977</v>
      </c>
      <c r="C396" s="6" t="s">
        <v>537</v>
      </c>
      <c r="D396" s="6" t="s">
        <v>610</v>
      </c>
      <c r="E396" s="6" t="s">
        <v>672</v>
      </c>
      <c r="F396" s="6">
        <v>2</v>
      </c>
      <c r="G396" s="6">
        <v>1499</v>
      </c>
      <c r="H396" s="6">
        <v>15</v>
      </c>
      <c r="I396" s="6">
        <v>2548.3000000000002</v>
      </c>
      <c r="J396" s="6" t="str">
        <f>IF(I396&gt;formulas!$B$5,"yes","no")</f>
        <v>yes</v>
      </c>
      <c r="K396" s="6" t="str">
        <f t="shared" si="18"/>
        <v>yes</v>
      </c>
      <c r="L396" s="6" t="str">
        <f>IF(COUNTIF('raw data'!$B$2:$B$501,B396)&gt;1,"Yes","No")</f>
        <v>Yes</v>
      </c>
      <c r="M396" t="str">
        <f t="shared" si="19"/>
        <v>no</v>
      </c>
      <c r="N396" t="str">
        <f t="shared" si="20"/>
        <v>Yes</v>
      </c>
      <c r="O396">
        <f>SUMIF('raw data'!B$2:B$501,B396,'raw data'!I$2:I$501)</f>
        <v>6245.55</v>
      </c>
      <c r="P396" t="str">
        <f>IF(OR(I396&lt;Visualization!$B$6,I396&gt;Visualization!$B$7),"Outlier","Normal")</f>
        <v>Outlier</v>
      </c>
    </row>
    <row r="397" spans="1:16" x14ac:dyDescent="0.35">
      <c r="A397" s="6" t="s">
        <v>404</v>
      </c>
      <c r="B397" s="15">
        <v>45079</v>
      </c>
      <c r="C397" s="6" t="s">
        <v>549</v>
      </c>
      <c r="D397" s="6" t="s">
        <v>609</v>
      </c>
      <c r="E397" s="6" t="s">
        <v>677</v>
      </c>
      <c r="F397" s="6">
        <v>1</v>
      </c>
      <c r="G397" s="6">
        <v>299</v>
      </c>
      <c r="H397" s="6">
        <v>5</v>
      </c>
      <c r="I397" s="6">
        <v>284.05</v>
      </c>
      <c r="J397" s="6" t="str">
        <f>IF(I397&gt;formulas!$B$5,"yes","no")</f>
        <v>no</v>
      </c>
      <c r="K397" s="6" t="str">
        <f t="shared" si="18"/>
        <v>yes</v>
      </c>
      <c r="L397" s="6" t="str">
        <f>IF(COUNTIF('raw data'!$B$2:$B$501,B397)&gt;1,"Yes","No")</f>
        <v>Yes</v>
      </c>
      <c r="M397" t="str">
        <f t="shared" si="19"/>
        <v>no</v>
      </c>
      <c r="N397" t="str">
        <f t="shared" si="20"/>
        <v>No</v>
      </c>
      <c r="O397">
        <f>SUMIF('raw data'!B$2:B$501,B397,'raw data'!I$2:I$501)</f>
        <v>284.05</v>
      </c>
      <c r="P397" t="str">
        <f>IF(OR(I397&lt;Visualization!$B$6,I397&gt;Visualization!$B$7),"Outlier","Normal")</f>
        <v>Outlier</v>
      </c>
    </row>
    <row r="398" spans="1:16" x14ac:dyDescent="0.35">
      <c r="A398" s="6" t="s">
        <v>405</v>
      </c>
      <c r="B398" s="15">
        <v>45112</v>
      </c>
      <c r="C398" s="6" t="s">
        <v>566</v>
      </c>
      <c r="D398" s="6" t="s">
        <v>612</v>
      </c>
      <c r="E398" s="6" t="s">
        <v>710</v>
      </c>
      <c r="F398" s="6">
        <v>4</v>
      </c>
      <c r="G398" s="6"/>
      <c r="H398" s="6">
        <v>15</v>
      </c>
      <c r="I398" s="6"/>
      <c r="J398" s="6" t="str">
        <f>IF(I398&gt;formulas!$B$5,"yes","no")</f>
        <v>no</v>
      </c>
      <c r="K398" s="6" t="str">
        <f t="shared" si="18"/>
        <v>yes</v>
      </c>
      <c r="L398" s="6" t="str">
        <f>IF(COUNTIF('raw data'!$B$2:$B$501,B398)&gt;1,"Yes","No")</f>
        <v>No</v>
      </c>
      <c r="M398" t="str">
        <f t="shared" si="19"/>
        <v>no</v>
      </c>
      <c r="N398" t="str">
        <f t="shared" si="20"/>
        <v>No</v>
      </c>
      <c r="O398">
        <f>SUMIF('raw data'!B$2:B$501,B398,'raw data'!I$2:I$501)</f>
        <v>0</v>
      </c>
      <c r="P398" t="str">
        <f>IF(OR(I398&lt;Visualization!$B$6,I398&gt;Visualization!$B$7),"Outlier","Normal")</f>
        <v>Normal</v>
      </c>
    </row>
    <row r="399" spans="1:16" x14ac:dyDescent="0.35">
      <c r="A399" s="6" t="s">
        <v>406</v>
      </c>
      <c r="B399" s="15">
        <v>44989</v>
      </c>
      <c r="C399" s="6" t="s">
        <v>533</v>
      </c>
      <c r="D399" s="6" t="s">
        <v>610</v>
      </c>
      <c r="E399" s="6" t="s">
        <v>672</v>
      </c>
      <c r="F399" s="6">
        <v>2</v>
      </c>
      <c r="G399" s="6">
        <v>499</v>
      </c>
      <c r="H399" s="6">
        <v>0</v>
      </c>
      <c r="I399" s="6">
        <v>998</v>
      </c>
      <c r="J399" s="6" t="str">
        <f>IF(I399&gt;formulas!$B$5,"yes","no")</f>
        <v>no</v>
      </c>
      <c r="K399" s="6" t="str">
        <f t="shared" si="18"/>
        <v>no</v>
      </c>
      <c r="L399" s="6" t="str">
        <f>IF(COUNTIF('raw data'!$B$2:$B$501,B399)&gt;1,"Yes","No")</f>
        <v>Yes</v>
      </c>
      <c r="M399" t="str">
        <f t="shared" si="19"/>
        <v>no</v>
      </c>
      <c r="N399" t="str">
        <f t="shared" si="20"/>
        <v>No</v>
      </c>
      <c r="O399">
        <f>SUMIF('raw data'!B$2:B$501,B399,'raw data'!I$2:I$501)</f>
        <v>1895</v>
      </c>
      <c r="P399" t="str">
        <f>IF(OR(I399&lt;Visualization!$B$6,I399&gt;Visualization!$B$7),"Outlier","Normal")</f>
        <v>Outlier</v>
      </c>
    </row>
    <row r="400" spans="1:16" x14ac:dyDescent="0.35">
      <c r="A400" s="6" t="s">
        <v>407</v>
      </c>
      <c r="B400" s="15">
        <v>45116</v>
      </c>
      <c r="C400" s="6" t="s">
        <v>583</v>
      </c>
      <c r="D400" s="6" t="s">
        <v>609</v>
      </c>
      <c r="E400" s="6" t="s">
        <v>707</v>
      </c>
      <c r="F400" s="6">
        <v>4</v>
      </c>
      <c r="G400" s="6">
        <v>299</v>
      </c>
      <c r="H400" s="6">
        <v>0</v>
      </c>
      <c r="I400" s="6">
        <v>1196</v>
      </c>
      <c r="J400" s="6" t="str">
        <f>IF(I400&gt;formulas!$B$5,"yes","no")</f>
        <v>no</v>
      </c>
      <c r="K400" s="6" t="str">
        <f t="shared" si="18"/>
        <v>no</v>
      </c>
      <c r="L400" s="6" t="str">
        <f>IF(COUNTIF('raw data'!$B$2:$B$501,B400)&gt;1,"Yes","No")</f>
        <v>Yes</v>
      </c>
      <c r="M400" t="str">
        <f t="shared" si="19"/>
        <v>no</v>
      </c>
      <c r="N400" t="str">
        <f t="shared" si="20"/>
        <v>No</v>
      </c>
      <c r="O400">
        <f>SUMIF('raw data'!B$2:B$501,B400,'raw data'!I$2:I$501)</f>
        <v>6729</v>
      </c>
      <c r="P400" t="str">
        <f>IF(OR(I400&lt;Visualization!$B$6,I400&gt;Visualization!$B$7),"Outlier","Normal")</f>
        <v>Outlier</v>
      </c>
    </row>
    <row r="401" spans="1:16" x14ac:dyDescent="0.35">
      <c r="A401" s="6" t="s">
        <v>408</v>
      </c>
      <c r="B401" s="15">
        <v>45051</v>
      </c>
      <c r="C401" s="6" t="s">
        <v>580</v>
      </c>
      <c r="D401" s="6" t="s">
        <v>613</v>
      </c>
      <c r="E401" s="6" t="s">
        <v>634</v>
      </c>
      <c r="F401" s="6">
        <v>1</v>
      </c>
      <c r="G401" s="6">
        <v>1499</v>
      </c>
      <c r="H401" s="6">
        <v>20</v>
      </c>
      <c r="I401" s="6">
        <v>1199.2</v>
      </c>
      <c r="J401" s="6" t="str">
        <f>IF(I401&gt;formulas!$B$5,"yes","no")</f>
        <v>no</v>
      </c>
      <c r="K401" s="6" t="str">
        <f t="shared" si="18"/>
        <v>yes</v>
      </c>
      <c r="L401" s="6" t="str">
        <f>IF(COUNTIF('raw data'!$B$2:$B$501,B401)&gt;1,"Yes","No")</f>
        <v>No</v>
      </c>
      <c r="M401" t="str">
        <f t="shared" si="19"/>
        <v>yes</v>
      </c>
      <c r="N401" t="str">
        <f t="shared" si="20"/>
        <v>No</v>
      </c>
      <c r="O401">
        <f>SUMIF('raw data'!B$2:B$501,B401,'raw data'!I$2:I$501)</f>
        <v>1199.2</v>
      </c>
      <c r="P401" t="str">
        <f>IF(OR(I401&lt;Visualization!$B$6,I401&gt;Visualization!$B$7),"Outlier","Normal")</f>
        <v>Outlier</v>
      </c>
    </row>
    <row r="402" spans="1:16" x14ac:dyDescent="0.35">
      <c r="A402" s="6" t="s">
        <v>409</v>
      </c>
      <c r="B402" s="15">
        <v>45076</v>
      </c>
      <c r="C402" s="6" t="s">
        <v>546</v>
      </c>
      <c r="D402" s="6" t="s">
        <v>610</v>
      </c>
      <c r="E402" s="6" t="s">
        <v>680</v>
      </c>
      <c r="F402" s="6"/>
      <c r="G402" s="6">
        <v>1999</v>
      </c>
      <c r="H402" s="6">
        <v>20</v>
      </c>
      <c r="I402" s="6"/>
      <c r="J402" s="6" t="str">
        <f>IF(I402&gt;formulas!$B$5,"yes","no")</f>
        <v>no</v>
      </c>
      <c r="K402" s="6" t="str">
        <f t="shared" si="18"/>
        <v>yes</v>
      </c>
      <c r="L402" s="6" t="str">
        <f>IF(COUNTIF('raw data'!$B$2:$B$501,B402)&gt;1,"Yes","No")</f>
        <v>Yes</v>
      </c>
      <c r="M402" t="str">
        <f t="shared" si="19"/>
        <v>yes</v>
      </c>
      <c r="N402" t="str">
        <f t="shared" si="20"/>
        <v>No</v>
      </c>
      <c r="O402">
        <f>SUMIF('raw data'!B$2:B$501,B402,'raw data'!I$2:I$501)</f>
        <v>2998</v>
      </c>
      <c r="P402" t="str">
        <f>IF(OR(I402&lt;Visualization!$B$6,I402&gt;Visualization!$B$7),"Outlier","Normal")</f>
        <v>Normal</v>
      </c>
    </row>
    <row r="403" spans="1:16" x14ac:dyDescent="0.35">
      <c r="A403" s="6" t="s">
        <v>410</v>
      </c>
      <c r="B403" s="15">
        <v>45240</v>
      </c>
      <c r="C403" s="6" t="s">
        <v>536</v>
      </c>
      <c r="D403" s="6" t="s">
        <v>609</v>
      </c>
      <c r="E403" s="6" t="s">
        <v>710</v>
      </c>
      <c r="F403" s="6">
        <v>2</v>
      </c>
      <c r="G403" s="6"/>
      <c r="H403" s="6">
        <v>10</v>
      </c>
      <c r="I403" s="6"/>
      <c r="J403" s="6" t="str">
        <f>IF(I403&gt;formulas!$B$5,"yes","no")</f>
        <v>no</v>
      </c>
      <c r="K403" s="6" t="str">
        <f t="shared" si="18"/>
        <v>yes</v>
      </c>
      <c r="L403" s="6" t="str">
        <f>IF(COUNTIF('raw data'!$B$2:$B$501,B403)&gt;1,"Yes","No")</f>
        <v>Yes</v>
      </c>
      <c r="M403" t="str">
        <f t="shared" si="19"/>
        <v>no</v>
      </c>
      <c r="N403" t="str">
        <f t="shared" si="20"/>
        <v>No</v>
      </c>
      <c r="O403">
        <f>SUMIF('raw data'!B$2:B$501,B403,'raw data'!I$2:I$501)</f>
        <v>1349.1</v>
      </c>
      <c r="P403" t="str">
        <f>IF(OR(I403&lt;Visualization!$B$6,I403&gt;Visualization!$B$7),"Outlier","Normal")</f>
        <v>Normal</v>
      </c>
    </row>
    <row r="404" spans="1:16" x14ac:dyDescent="0.35">
      <c r="A404" s="6" t="s">
        <v>411</v>
      </c>
      <c r="B404" s="15">
        <v>44984</v>
      </c>
      <c r="C404" s="6" t="s">
        <v>596</v>
      </c>
      <c r="D404" s="6" t="s">
        <v>609</v>
      </c>
      <c r="E404" s="6" t="s">
        <v>652</v>
      </c>
      <c r="F404" s="6">
        <v>0</v>
      </c>
      <c r="G404" s="6">
        <v>1999</v>
      </c>
      <c r="H404" s="6"/>
      <c r="I404" s="6">
        <v>0</v>
      </c>
      <c r="J404" s="6" t="str">
        <f>IF(I404&gt;formulas!$B$5,"yes","no")</f>
        <v>no</v>
      </c>
      <c r="K404" s="6" t="str">
        <f t="shared" si="18"/>
        <v>no</v>
      </c>
      <c r="L404" s="6" t="str">
        <f>IF(COUNTIF('raw data'!$B$2:$B$501,B404)&gt;1,"Yes","No")</f>
        <v>Yes</v>
      </c>
      <c r="M404" t="str">
        <f t="shared" si="19"/>
        <v>no</v>
      </c>
      <c r="N404" t="str">
        <f t="shared" si="20"/>
        <v>No</v>
      </c>
      <c r="O404">
        <f>SUMIF('raw data'!B$2:B$501,B404,'raw data'!I$2:I$501)</f>
        <v>3869.8500000000004</v>
      </c>
      <c r="P404" t="str">
        <f>IF(OR(I404&lt;Visualization!$B$6,I404&gt;Visualization!$B$7),"Outlier","Normal")</f>
        <v>Normal</v>
      </c>
    </row>
    <row r="405" spans="1:16" x14ac:dyDescent="0.35">
      <c r="A405" s="6" t="s">
        <v>412</v>
      </c>
      <c r="B405" s="15">
        <v>45268</v>
      </c>
      <c r="C405" s="6" t="s">
        <v>558</v>
      </c>
      <c r="D405" s="6" t="s">
        <v>611</v>
      </c>
      <c r="E405" s="6" t="s">
        <v>698</v>
      </c>
      <c r="F405" s="6">
        <v>0</v>
      </c>
      <c r="G405" s="6">
        <v>999</v>
      </c>
      <c r="H405" s="6">
        <v>15</v>
      </c>
      <c r="I405" s="6">
        <v>0</v>
      </c>
      <c r="J405" s="6" t="str">
        <f>IF(I405&gt;formulas!$B$5,"yes","no")</f>
        <v>no</v>
      </c>
      <c r="K405" s="6" t="str">
        <f t="shared" si="18"/>
        <v>yes</v>
      </c>
      <c r="L405" s="6" t="str">
        <f>IF(COUNTIF('raw data'!$B$2:$B$501,B405)&gt;1,"Yes","No")</f>
        <v>Yes</v>
      </c>
      <c r="M405" t="str">
        <f t="shared" si="19"/>
        <v>no</v>
      </c>
      <c r="N405" t="str">
        <f t="shared" si="20"/>
        <v>No</v>
      </c>
      <c r="O405">
        <f>SUMIF('raw data'!B$2:B$501,B405,'raw data'!I$2:I$501)</f>
        <v>2998</v>
      </c>
      <c r="P405" t="str">
        <f>IF(OR(I405&lt;Visualization!$B$6,I405&gt;Visualization!$B$7),"Outlier","Normal")</f>
        <v>Normal</v>
      </c>
    </row>
    <row r="406" spans="1:16" x14ac:dyDescent="0.35">
      <c r="A406" s="6" t="s">
        <v>413</v>
      </c>
      <c r="B406" s="15">
        <v>45231</v>
      </c>
      <c r="C406" s="6" t="s">
        <v>594</v>
      </c>
      <c r="D406" s="6" t="s">
        <v>613</v>
      </c>
      <c r="E406" s="6" t="s">
        <v>708</v>
      </c>
      <c r="F406" s="6">
        <v>3</v>
      </c>
      <c r="G406" s="6">
        <v>1999</v>
      </c>
      <c r="H406" s="6">
        <v>0</v>
      </c>
      <c r="I406" s="6">
        <v>5997</v>
      </c>
      <c r="J406" s="6" t="str">
        <f>IF(I406&gt;formulas!$B$5,"yes","no")</f>
        <v>yes</v>
      </c>
      <c r="K406" s="6" t="str">
        <f t="shared" si="18"/>
        <v>no</v>
      </c>
      <c r="L406" s="6" t="str">
        <f>IF(COUNTIF('raw data'!$B$2:$B$501,B406)&gt;1,"Yes","No")</f>
        <v>No</v>
      </c>
      <c r="M406" t="str">
        <f t="shared" si="19"/>
        <v>no</v>
      </c>
      <c r="N406" t="str">
        <f t="shared" si="20"/>
        <v>No</v>
      </c>
      <c r="O406">
        <f>SUMIF('raw data'!B$2:B$501,B406,'raw data'!I$2:I$501)</f>
        <v>5997</v>
      </c>
      <c r="P406" t="str">
        <f>IF(OR(I406&lt;Visualization!$B$6,I406&gt;Visualization!$B$7),"Outlier","Normal")</f>
        <v>Outlier</v>
      </c>
    </row>
    <row r="407" spans="1:16" x14ac:dyDescent="0.35">
      <c r="A407" s="6" t="s">
        <v>414</v>
      </c>
      <c r="B407" s="15">
        <v>45106</v>
      </c>
      <c r="C407" s="6" t="s">
        <v>603</v>
      </c>
      <c r="D407" s="6" t="s">
        <v>611</v>
      </c>
      <c r="E407" s="6" t="s">
        <v>650</v>
      </c>
      <c r="F407" s="6">
        <v>3</v>
      </c>
      <c r="G407" s="6">
        <v>999</v>
      </c>
      <c r="H407" s="6">
        <v>20</v>
      </c>
      <c r="I407" s="6">
        <v>2397.6</v>
      </c>
      <c r="J407" s="6" t="str">
        <f>IF(I407&gt;formulas!$B$5,"yes","no")</f>
        <v>yes</v>
      </c>
      <c r="K407" s="6" t="str">
        <f t="shared" si="18"/>
        <v>yes</v>
      </c>
      <c r="L407" s="6" t="str">
        <f>IF(COUNTIF('raw data'!$B$2:$B$501,B407)&gt;1,"Yes","No")</f>
        <v>Yes</v>
      </c>
      <c r="M407" t="str">
        <f t="shared" si="19"/>
        <v>yes</v>
      </c>
      <c r="N407" t="str">
        <f t="shared" si="20"/>
        <v>Yes</v>
      </c>
      <c r="O407">
        <f>SUMIF('raw data'!B$2:B$501,B407,'raw data'!I$2:I$501)</f>
        <v>6469.25</v>
      </c>
      <c r="P407" t="str">
        <f>IF(OR(I407&lt;Visualization!$B$6,I407&gt;Visualization!$B$7),"Outlier","Normal")</f>
        <v>Outlier</v>
      </c>
    </row>
    <row r="408" spans="1:16" x14ac:dyDescent="0.35">
      <c r="A408" s="6" t="s">
        <v>415</v>
      </c>
      <c r="B408" s="15">
        <v>45096</v>
      </c>
      <c r="C408" s="6" t="s">
        <v>593</v>
      </c>
      <c r="D408" s="6" t="s">
        <v>612</v>
      </c>
      <c r="E408" s="6" t="s">
        <v>618</v>
      </c>
      <c r="F408" s="6">
        <v>4</v>
      </c>
      <c r="G408" s="6">
        <v>999</v>
      </c>
      <c r="H408" s="6"/>
      <c r="I408" s="6">
        <v>3996</v>
      </c>
      <c r="J408" s="6" t="str">
        <f>IF(I408&gt;formulas!$B$5,"yes","no")</f>
        <v>yes</v>
      </c>
      <c r="K408" s="6" t="str">
        <f t="shared" si="18"/>
        <v>no</v>
      </c>
      <c r="L408" s="6" t="str">
        <f>IF(COUNTIF('raw data'!$B$2:$B$501,B408)&gt;1,"Yes","No")</f>
        <v>Yes</v>
      </c>
      <c r="M408" t="str">
        <f t="shared" si="19"/>
        <v>no</v>
      </c>
      <c r="N408" t="str">
        <f t="shared" si="20"/>
        <v>Yes</v>
      </c>
      <c r="O408">
        <f>SUMIF('raw data'!B$2:B$501,B408,'raw data'!I$2:I$501)</f>
        <v>5689</v>
      </c>
      <c r="P408" t="str">
        <f>IF(OR(I408&lt;Visualization!$B$6,I408&gt;Visualization!$B$7),"Outlier","Normal")</f>
        <v>Outlier</v>
      </c>
    </row>
    <row r="409" spans="1:16" x14ac:dyDescent="0.35">
      <c r="A409" s="6" t="s">
        <v>416</v>
      </c>
      <c r="B409" s="15">
        <v>45252</v>
      </c>
      <c r="C409" s="6" t="s">
        <v>608</v>
      </c>
      <c r="D409" s="6" t="s">
        <v>611</v>
      </c>
      <c r="E409" s="6" t="s">
        <v>667</v>
      </c>
      <c r="F409" s="6">
        <v>1</v>
      </c>
      <c r="G409" s="6">
        <v>1499</v>
      </c>
      <c r="H409" s="6">
        <v>15</v>
      </c>
      <c r="I409" s="6">
        <v>1274.1500000000001</v>
      </c>
      <c r="J409" s="6" t="str">
        <f>IF(I409&gt;formulas!$B$5,"yes","no")</f>
        <v>no</v>
      </c>
      <c r="K409" s="6" t="str">
        <f t="shared" si="18"/>
        <v>yes</v>
      </c>
      <c r="L409" s="6" t="str">
        <f>IF(COUNTIF('raw data'!$B$2:$B$501,B409)&gt;1,"Yes","No")</f>
        <v>Yes</v>
      </c>
      <c r="M409" t="str">
        <f t="shared" si="19"/>
        <v>no</v>
      </c>
      <c r="N409" t="str">
        <f t="shared" si="20"/>
        <v>No</v>
      </c>
      <c r="O409">
        <f>SUMIF('raw data'!B$2:B$501,B409,'raw data'!I$2:I$501)</f>
        <v>4272.1499999999996</v>
      </c>
      <c r="P409" t="str">
        <f>IF(OR(I409&lt;Visualization!$B$6,I409&gt;Visualization!$B$7),"Outlier","Normal")</f>
        <v>Outlier</v>
      </c>
    </row>
    <row r="410" spans="1:16" x14ac:dyDescent="0.35">
      <c r="A410" s="6" t="s">
        <v>417</v>
      </c>
      <c r="B410" s="15">
        <v>45197</v>
      </c>
      <c r="C410" s="6" t="s">
        <v>519</v>
      </c>
      <c r="D410" s="6" t="s">
        <v>611</v>
      </c>
      <c r="E410" s="6" t="s">
        <v>693</v>
      </c>
      <c r="F410" s="6">
        <v>0</v>
      </c>
      <c r="G410" s="6">
        <v>999</v>
      </c>
      <c r="H410" s="6">
        <v>20</v>
      </c>
      <c r="I410" s="6">
        <v>0</v>
      </c>
      <c r="J410" s="6" t="str">
        <f>IF(I410&gt;formulas!$B$5,"yes","no")</f>
        <v>no</v>
      </c>
      <c r="K410" s="6" t="str">
        <f t="shared" si="18"/>
        <v>yes</v>
      </c>
      <c r="L410" s="6" t="str">
        <f>IF(COUNTIF('raw data'!$B$2:$B$501,B410)&gt;1,"Yes","No")</f>
        <v>Yes</v>
      </c>
      <c r="M410" t="str">
        <f t="shared" si="19"/>
        <v>yes</v>
      </c>
      <c r="N410" t="str">
        <f t="shared" si="20"/>
        <v>No</v>
      </c>
      <c r="O410">
        <f>SUMIF('raw data'!B$2:B$501,B410,'raw data'!I$2:I$501)</f>
        <v>3556.6</v>
      </c>
      <c r="P410" t="str">
        <f>IF(OR(I410&lt;Visualization!$B$6,I410&gt;Visualization!$B$7),"Outlier","Normal")</f>
        <v>Normal</v>
      </c>
    </row>
    <row r="411" spans="1:16" x14ac:dyDescent="0.35">
      <c r="A411" s="6" t="s">
        <v>418</v>
      </c>
      <c r="B411" s="15">
        <v>44980</v>
      </c>
      <c r="C411" s="6" t="s">
        <v>532</v>
      </c>
      <c r="D411" s="6" t="s">
        <v>610</v>
      </c>
      <c r="E411" s="6" t="s">
        <v>695</v>
      </c>
      <c r="F411" s="6">
        <v>2</v>
      </c>
      <c r="G411" s="6">
        <v>199</v>
      </c>
      <c r="H411" s="6">
        <v>20</v>
      </c>
      <c r="I411" s="6">
        <v>318.39999999999998</v>
      </c>
      <c r="J411" s="6" t="str">
        <f>IF(I411&gt;formulas!$B$5,"yes","no")</f>
        <v>no</v>
      </c>
      <c r="K411" s="6" t="str">
        <f t="shared" si="18"/>
        <v>yes</v>
      </c>
      <c r="L411" s="6" t="str">
        <f>IF(COUNTIF('raw data'!$B$2:$B$501,B411)&gt;1,"Yes","No")</f>
        <v>Yes</v>
      </c>
      <c r="M411" t="str">
        <f t="shared" si="19"/>
        <v>yes</v>
      </c>
      <c r="N411" t="str">
        <f t="shared" si="20"/>
        <v>No</v>
      </c>
      <c r="O411">
        <f>SUMIF('raw data'!B$2:B$501,B411,'raw data'!I$2:I$501)</f>
        <v>6687.6</v>
      </c>
      <c r="P411" t="str">
        <f>IF(OR(I411&lt;Visualization!$B$6,I411&gt;Visualization!$B$7),"Outlier","Normal")</f>
        <v>Outlier</v>
      </c>
    </row>
    <row r="412" spans="1:16" x14ac:dyDescent="0.35">
      <c r="A412" s="6" t="s">
        <v>419</v>
      </c>
      <c r="B412" s="15">
        <v>45027</v>
      </c>
      <c r="C412" s="6" t="s">
        <v>536</v>
      </c>
      <c r="D412" s="6" t="s">
        <v>609</v>
      </c>
      <c r="E412" s="6" t="s">
        <v>615</v>
      </c>
      <c r="F412" s="6">
        <v>2</v>
      </c>
      <c r="G412" s="6">
        <v>499</v>
      </c>
      <c r="H412" s="6">
        <v>0</v>
      </c>
      <c r="I412" s="6">
        <v>998</v>
      </c>
      <c r="J412" s="6" t="str">
        <f>IF(I412&gt;formulas!$B$5,"yes","no")</f>
        <v>no</v>
      </c>
      <c r="K412" s="6" t="str">
        <f t="shared" si="18"/>
        <v>no</v>
      </c>
      <c r="L412" s="6" t="str">
        <f>IF(COUNTIF('raw data'!$B$2:$B$501,B412)&gt;1,"Yes","No")</f>
        <v>Yes</v>
      </c>
      <c r="M412" t="str">
        <f t="shared" si="19"/>
        <v>no</v>
      </c>
      <c r="N412" t="str">
        <f t="shared" si="20"/>
        <v>No</v>
      </c>
      <c r="O412">
        <f>SUMIF('raw data'!B$2:B$501,B412,'raw data'!I$2:I$501)</f>
        <v>8993</v>
      </c>
      <c r="P412" t="str">
        <f>IF(OR(I412&lt;Visualization!$B$6,I412&gt;Visualization!$B$7),"Outlier","Normal")</f>
        <v>Outlier</v>
      </c>
    </row>
    <row r="413" spans="1:16" x14ac:dyDescent="0.35">
      <c r="A413" s="6" t="s">
        <v>420</v>
      </c>
      <c r="B413" s="15">
        <v>45190</v>
      </c>
      <c r="C413" s="6" t="s">
        <v>542</v>
      </c>
      <c r="D413" s="6" t="s">
        <v>613</v>
      </c>
      <c r="E413" s="6" t="s">
        <v>673</v>
      </c>
      <c r="F413" s="6">
        <v>2</v>
      </c>
      <c r="G413" s="6">
        <v>499</v>
      </c>
      <c r="H413" s="6">
        <v>0</v>
      </c>
      <c r="I413" s="6">
        <v>998</v>
      </c>
      <c r="J413" s="6" t="str">
        <f>IF(I413&gt;formulas!$B$5,"yes","no")</f>
        <v>no</v>
      </c>
      <c r="K413" s="6" t="str">
        <f t="shared" si="18"/>
        <v>no</v>
      </c>
      <c r="L413" s="6" t="str">
        <f>IF(COUNTIF('raw data'!$B$2:$B$501,B413)&gt;1,"Yes","No")</f>
        <v>Yes</v>
      </c>
      <c r="M413" t="str">
        <f t="shared" si="19"/>
        <v>no</v>
      </c>
      <c r="N413" t="str">
        <f t="shared" si="20"/>
        <v>No</v>
      </c>
      <c r="O413">
        <f>SUMIF('raw data'!B$2:B$501,B413,'raw data'!I$2:I$501)</f>
        <v>10189.200000000001</v>
      </c>
      <c r="P413" t="str">
        <f>IF(OR(I413&lt;Visualization!$B$6,I413&gt;Visualization!$B$7),"Outlier","Normal")</f>
        <v>Outlier</v>
      </c>
    </row>
    <row r="414" spans="1:16" x14ac:dyDescent="0.35">
      <c r="A414" s="6" t="s">
        <v>421</v>
      </c>
      <c r="B414" s="15">
        <v>44979</v>
      </c>
      <c r="C414" s="6" t="s">
        <v>590</v>
      </c>
      <c r="D414" s="6" t="s">
        <v>611</v>
      </c>
      <c r="E414" s="6" t="s">
        <v>620</v>
      </c>
      <c r="F414" s="6"/>
      <c r="G414" s="6">
        <v>1499</v>
      </c>
      <c r="H414" s="6">
        <v>20</v>
      </c>
      <c r="I414" s="6"/>
      <c r="J414" s="6" t="str">
        <f>IF(I414&gt;formulas!$B$5,"yes","no")</f>
        <v>no</v>
      </c>
      <c r="K414" s="6" t="str">
        <f t="shared" si="18"/>
        <v>yes</v>
      </c>
      <c r="L414" s="6" t="str">
        <f>IF(COUNTIF('raw data'!$B$2:$B$501,B414)&gt;1,"Yes","No")</f>
        <v>Yes</v>
      </c>
      <c r="M414" t="str">
        <f t="shared" si="19"/>
        <v>yes</v>
      </c>
      <c r="N414" t="str">
        <f t="shared" si="20"/>
        <v>No</v>
      </c>
      <c r="O414">
        <f>SUMIF('raw data'!B$2:B$501,B414,'raw data'!I$2:I$501)</f>
        <v>3531.3</v>
      </c>
      <c r="P414" t="str">
        <f>IF(OR(I414&lt;Visualization!$B$6,I414&gt;Visualization!$B$7),"Outlier","Normal")</f>
        <v>Normal</v>
      </c>
    </row>
    <row r="415" spans="1:16" x14ac:dyDescent="0.35">
      <c r="A415" s="6" t="s">
        <v>422</v>
      </c>
      <c r="B415" s="15">
        <v>44986</v>
      </c>
      <c r="C415" s="6" t="s">
        <v>534</v>
      </c>
      <c r="D415" s="6" t="s">
        <v>613</v>
      </c>
      <c r="E415" s="6" t="s">
        <v>614</v>
      </c>
      <c r="F415" s="6"/>
      <c r="G415" s="6">
        <v>199</v>
      </c>
      <c r="H415" s="6">
        <v>5</v>
      </c>
      <c r="I415" s="6"/>
      <c r="J415" s="6" t="str">
        <f>IF(I415&gt;formulas!$B$5,"yes","no")</f>
        <v>no</v>
      </c>
      <c r="K415" s="6" t="str">
        <f t="shared" si="18"/>
        <v>yes</v>
      </c>
      <c r="L415" s="6" t="str">
        <f>IF(COUNTIF('raw data'!$B$2:$B$501,B415)&gt;1,"Yes","No")</f>
        <v>Yes</v>
      </c>
      <c r="M415" t="str">
        <f t="shared" si="19"/>
        <v>no</v>
      </c>
      <c r="N415" t="str">
        <f t="shared" si="20"/>
        <v>No</v>
      </c>
      <c r="O415">
        <f>SUMIF('raw data'!B$2:B$501,B415,'raw data'!I$2:I$501)</f>
        <v>378.1</v>
      </c>
      <c r="P415" t="str">
        <f>IF(OR(I415&lt;Visualization!$B$6,I415&gt;Visualization!$B$7),"Outlier","Normal")</f>
        <v>Normal</v>
      </c>
    </row>
    <row r="416" spans="1:16" x14ac:dyDescent="0.35">
      <c r="A416" s="6" t="s">
        <v>423</v>
      </c>
      <c r="B416" s="15">
        <v>45034</v>
      </c>
      <c r="C416" s="6" t="s">
        <v>548</v>
      </c>
      <c r="D416" s="6" t="s">
        <v>611</v>
      </c>
      <c r="E416" s="6" t="s">
        <v>640</v>
      </c>
      <c r="F416" s="6">
        <v>5</v>
      </c>
      <c r="G416" s="6">
        <v>1999</v>
      </c>
      <c r="H416" s="6">
        <v>20</v>
      </c>
      <c r="I416" s="6">
        <v>7996</v>
      </c>
      <c r="J416" s="6" t="str">
        <f>IF(I416&gt;formulas!$B$5,"yes","no")</f>
        <v>yes</v>
      </c>
      <c r="K416" s="6" t="str">
        <f t="shared" si="18"/>
        <v>yes</v>
      </c>
      <c r="L416" s="6" t="str">
        <f>IF(COUNTIF('raw data'!$B$2:$B$501,B416)&gt;1,"Yes","No")</f>
        <v>Yes</v>
      </c>
      <c r="M416" t="str">
        <f t="shared" si="19"/>
        <v>yes</v>
      </c>
      <c r="N416" t="str">
        <f t="shared" si="20"/>
        <v>Yes</v>
      </c>
      <c r="O416">
        <f>SUMIF('raw data'!B$2:B$501,B416,'raw data'!I$2:I$501)</f>
        <v>8945.0499999999993</v>
      </c>
      <c r="P416" t="str">
        <f>IF(OR(I416&lt;Visualization!$B$6,I416&gt;Visualization!$B$7),"Outlier","Normal")</f>
        <v>Outlier</v>
      </c>
    </row>
    <row r="417" spans="1:16" x14ac:dyDescent="0.35">
      <c r="A417" s="6" t="s">
        <v>424</v>
      </c>
      <c r="B417" s="15">
        <v>44931</v>
      </c>
      <c r="C417" s="6" t="s">
        <v>567</v>
      </c>
      <c r="D417" s="6" t="s">
        <v>612</v>
      </c>
      <c r="E417" s="6" t="s">
        <v>669</v>
      </c>
      <c r="F417" s="6">
        <v>4</v>
      </c>
      <c r="G417" s="6">
        <v>299</v>
      </c>
      <c r="H417" s="6"/>
      <c r="I417" s="6">
        <v>1196</v>
      </c>
      <c r="J417" s="6" t="str">
        <f>IF(I417&gt;formulas!$B$5,"yes","no")</f>
        <v>no</v>
      </c>
      <c r="K417" s="6" t="str">
        <f t="shared" si="18"/>
        <v>no</v>
      </c>
      <c r="L417" s="6" t="str">
        <f>IF(COUNTIF('raw data'!$B$2:$B$501,B417)&gt;1,"Yes","No")</f>
        <v>Yes</v>
      </c>
      <c r="M417" t="str">
        <f t="shared" si="19"/>
        <v>no</v>
      </c>
      <c r="N417" t="str">
        <f t="shared" si="20"/>
        <v>No</v>
      </c>
      <c r="O417">
        <f>SUMIF('raw data'!B$2:B$501,B417,'raw data'!I$2:I$501)</f>
        <v>1794</v>
      </c>
      <c r="P417" t="str">
        <f>IF(OR(I417&lt;Visualization!$B$6,I417&gt;Visualization!$B$7),"Outlier","Normal")</f>
        <v>Outlier</v>
      </c>
    </row>
    <row r="418" spans="1:16" x14ac:dyDescent="0.35">
      <c r="A418" s="6" t="s">
        <v>425</v>
      </c>
      <c r="B418" s="15">
        <v>45029</v>
      </c>
      <c r="C418" s="6" t="s">
        <v>604</v>
      </c>
      <c r="D418" s="6" t="s">
        <v>611</v>
      </c>
      <c r="E418" s="6" t="s">
        <v>636</v>
      </c>
      <c r="F418" s="6">
        <v>2</v>
      </c>
      <c r="G418" s="6">
        <v>1999</v>
      </c>
      <c r="H418" s="6">
        <v>20</v>
      </c>
      <c r="I418" s="6">
        <v>3198.4</v>
      </c>
      <c r="J418" s="6" t="str">
        <f>IF(I418&gt;formulas!$B$5,"yes","no")</f>
        <v>yes</v>
      </c>
      <c r="K418" s="6" t="str">
        <f t="shared" si="18"/>
        <v>yes</v>
      </c>
      <c r="L418" s="6" t="str">
        <f>IF(COUNTIF('raw data'!$B$2:$B$501,B418)&gt;1,"Yes","No")</f>
        <v>Yes</v>
      </c>
      <c r="M418" t="str">
        <f t="shared" si="19"/>
        <v>yes</v>
      </c>
      <c r="N418" t="str">
        <f t="shared" si="20"/>
        <v>Yes</v>
      </c>
      <c r="O418">
        <f>SUMIF('raw data'!B$2:B$501,B418,'raw data'!I$2:I$501)</f>
        <v>3914.8</v>
      </c>
      <c r="P418" t="str">
        <f>IF(OR(I418&lt;Visualization!$B$6,I418&gt;Visualization!$B$7),"Outlier","Normal")</f>
        <v>Outlier</v>
      </c>
    </row>
    <row r="419" spans="1:16" x14ac:dyDescent="0.35">
      <c r="A419" s="6" t="s">
        <v>426</v>
      </c>
      <c r="B419" s="15">
        <v>45122</v>
      </c>
      <c r="C419" s="6" t="s">
        <v>596</v>
      </c>
      <c r="D419" s="6" t="s">
        <v>610</v>
      </c>
      <c r="E419" s="6" t="s">
        <v>648</v>
      </c>
      <c r="F419" s="6">
        <v>2</v>
      </c>
      <c r="G419" s="6">
        <v>299</v>
      </c>
      <c r="H419" s="6">
        <v>10</v>
      </c>
      <c r="I419" s="6">
        <v>538.20000000000005</v>
      </c>
      <c r="J419" s="6" t="str">
        <f>IF(I419&gt;formulas!$B$5,"yes","no")</f>
        <v>no</v>
      </c>
      <c r="K419" s="6" t="str">
        <f t="shared" si="18"/>
        <v>yes</v>
      </c>
      <c r="L419" s="6" t="str">
        <f>IF(COUNTIF('raw data'!$B$2:$B$501,B419)&gt;1,"Yes","No")</f>
        <v>No</v>
      </c>
      <c r="M419" t="str">
        <f t="shared" si="19"/>
        <v>no</v>
      </c>
      <c r="N419" t="str">
        <f t="shared" si="20"/>
        <v>No</v>
      </c>
      <c r="O419">
        <f>SUMIF('raw data'!B$2:B$501,B419,'raw data'!I$2:I$501)</f>
        <v>538.20000000000005</v>
      </c>
      <c r="P419" t="str">
        <f>IF(OR(I419&lt;Visualization!$B$6,I419&gt;Visualization!$B$7),"Outlier","Normal")</f>
        <v>Outlier</v>
      </c>
    </row>
    <row r="420" spans="1:16" x14ac:dyDescent="0.35">
      <c r="A420" s="6" t="s">
        <v>427</v>
      </c>
      <c r="B420" s="15">
        <v>45188</v>
      </c>
      <c r="C420" s="6" t="s">
        <v>594</v>
      </c>
      <c r="D420" s="6" t="s">
        <v>609</v>
      </c>
      <c r="E420" s="6" t="s">
        <v>616</v>
      </c>
      <c r="F420" s="6">
        <v>2</v>
      </c>
      <c r="G420" s="6">
        <v>999</v>
      </c>
      <c r="H420" s="6">
        <v>10</v>
      </c>
      <c r="I420" s="6">
        <v>1798.2</v>
      </c>
      <c r="J420" s="6" t="str">
        <f>IF(I420&gt;formulas!$B$5,"yes","no")</f>
        <v>yes</v>
      </c>
      <c r="K420" s="6" t="str">
        <f t="shared" si="18"/>
        <v>yes</v>
      </c>
      <c r="L420" s="6" t="str">
        <f>IF(COUNTIF('raw data'!$B$2:$B$501,B420)&gt;1,"Yes","No")</f>
        <v>No</v>
      </c>
      <c r="M420" t="str">
        <f t="shared" si="19"/>
        <v>no</v>
      </c>
      <c r="N420" t="str">
        <f t="shared" si="20"/>
        <v>No</v>
      </c>
      <c r="O420">
        <f>SUMIF('raw data'!B$2:B$501,B420,'raw data'!I$2:I$501)</f>
        <v>1798.2</v>
      </c>
      <c r="P420" t="str">
        <f>IF(OR(I420&lt;Visualization!$B$6,I420&gt;Visualization!$B$7),"Outlier","Normal")</f>
        <v>Outlier</v>
      </c>
    </row>
    <row r="421" spans="1:16" x14ac:dyDescent="0.35">
      <c r="A421" s="6" t="s">
        <v>428</v>
      </c>
      <c r="B421" s="15">
        <v>45291</v>
      </c>
      <c r="C421" s="6" t="s">
        <v>558</v>
      </c>
      <c r="D421" s="6" t="s">
        <v>612</v>
      </c>
      <c r="E421" s="6" t="s">
        <v>634</v>
      </c>
      <c r="F421" s="6">
        <v>4</v>
      </c>
      <c r="G421" s="6"/>
      <c r="H421" s="6">
        <v>10</v>
      </c>
      <c r="I421" s="6"/>
      <c r="J421" s="6" t="str">
        <f>IF(I421&gt;formulas!$B$5,"yes","no")</f>
        <v>no</v>
      </c>
      <c r="K421" s="6" t="str">
        <f t="shared" si="18"/>
        <v>yes</v>
      </c>
      <c r="L421" s="6" t="str">
        <f>IF(COUNTIF('raw data'!$B$2:$B$501,B421)&gt;1,"Yes","No")</f>
        <v>Yes</v>
      </c>
      <c r="M421" t="str">
        <f t="shared" si="19"/>
        <v>no</v>
      </c>
      <c r="N421" t="str">
        <f t="shared" si="20"/>
        <v>No</v>
      </c>
      <c r="O421">
        <f>SUMIF('raw data'!B$2:B$501,B421,'raw data'!I$2:I$501)</f>
        <v>796</v>
      </c>
      <c r="P421" t="str">
        <f>IF(OR(I421&lt;Visualization!$B$6,I421&gt;Visualization!$B$7),"Outlier","Normal")</f>
        <v>Normal</v>
      </c>
    </row>
    <row r="422" spans="1:16" x14ac:dyDescent="0.35">
      <c r="A422" s="6" t="s">
        <v>429</v>
      </c>
      <c r="B422" s="15">
        <v>45276</v>
      </c>
      <c r="C422" s="6" t="s">
        <v>577</v>
      </c>
      <c r="D422" s="6" t="s">
        <v>611</v>
      </c>
      <c r="E422" s="6" t="s">
        <v>635</v>
      </c>
      <c r="F422" s="6">
        <v>1</v>
      </c>
      <c r="G422" s="6">
        <v>299</v>
      </c>
      <c r="H422" s="6">
        <v>5</v>
      </c>
      <c r="I422" s="6">
        <v>284.05</v>
      </c>
      <c r="J422" s="6" t="str">
        <f>IF(I422&gt;formulas!$B$5,"yes","no")</f>
        <v>no</v>
      </c>
      <c r="K422" s="6" t="str">
        <f t="shared" si="18"/>
        <v>yes</v>
      </c>
      <c r="L422" s="6" t="str">
        <f>IF(COUNTIF('raw data'!$B$2:$B$501,B422)&gt;1,"Yes","No")</f>
        <v>No</v>
      </c>
      <c r="M422" t="str">
        <f t="shared" si="19"/>
        <v>no</v>
      </c>
      <c r="N422" t="str">
        <f t="shared" si="20"/>
        <v>No</v>
      </c>
      <c r="O422">
        <f>SUMIF('raw data'!B$2:B$501,B422,'raw data'!I$2:I$501)</f>
        <v>284.05</v>
      </c>
      <c r="P422" t="str">
        <f>IF(OR(I422&lt;Visualization!$B$6,I422&gt;Visualization!$B$7),"Outlier","Normal")</f>
        <v>Outlier</v>
      </c>
    </row>
    <row r="423" spans="1:16" x14ac:dyDescent="0.35">
      <c r="A423" s="6" t="s">
        <v>430</v>
      </c>
      <c r="B423" s="15">
        <v>44973</v>
      </c>
      <c r="C423" s="6" t="s">
        <v>533</v>
      </c>
      <c r="D423" s="6" t="s">
        <v>613</v>
      </c>
      <c r="E423" s="6" t="s">
        <v>621</v>
      </c>
      <c r="F423" s="6">
        <v>2</v>
      </c>
      <c r="G423" s="6"/>
      <c r="H423" s="6">
        <v>5</v>
      </c>
      <c r="I423" s="6"/>
      <c r="J423" s="6" t="str">
        <f>IF(I423&gt;formulas!$B$5,"yes","no")</f>
        <v>no</v>
      </c>
      <c r="K423" s="6" t="str">
        <f t="shared" si="18"/>
        <v>yes</v>
      </c>
      <c r="L423" s="6" t="str">
        <f>IF(COUNTIF('raw data'!$B$2:$B$501,B423)&gt;1,"Yes","No")</f>
        <v>Yes</v>
      </c>
      <c r="M423" t="str">
        <f t="shared" si="19"/>
        <v>no</v>
      </c>
      <c r="N423" t="str">
        <f t="shared" si="20"/>
        <v>No</v>
      </c>
      <c r="O423">
        <f>SUMIF('raw data'!B$2:B$501,B423,'raw data'!I$2:I$501)</f>
        <v>199</v>
      </c>
      <c r="P423" t="str">
        <f>IF(OR(I423&lt;Visualization!$B$6,I423&gt;Visualization!$B$7),"Outlier","Normal")</f>
        <v>Normal</v>
      </c>
    </row>
    <row r="424" spans="1:16" x14ac:dyDescent="0.35">
      <c r="A424" s="6" t="s">
        <v>431</v>
      </c>
      <c r="B424" s="15">
        <v>45281</v>
      </c>
      <c r="C424" s="6" t="s">
        <v>565</v>
      </c>
      <c r="D424" s="6" t="s">
        <v>612</v>
      </c>
      <c r="E424" s="6" t="s">
        <v>663</v>
      </c>
      <c r="F424" s="6">
        <v>1</v>
      </c>
      <c r="G424" s="6">
        <v>499</v>
      </c>
      <c r="H424" s="6">
        <v>20</v>
      </c>
      <c r="I424" s="6">
        <v>399.2</v>
      </c>
      <c r="J424" s="6" t="str">
        <f>IF(I424&gt;formulas!$B$5,"yes","no")</f>
        <v>no</v>
      </c>
      <c r="K424" s="6" t="str">
        <f t="shared" si="18"/>
        <v>yes</v>
      </c>
      <c r="L424" s="6" t="str">
        <f>IF(COUNTIF('raw data'!$B$2:$B$501,B424)&gt;1,"Yes","No")</f>
        <v>Yes</v>
      </c>
      <c r="M424" t="str">
        <f t="shared" si="19"/>
        <v>yes</v>
      </c>
      <c r="N424" t="str">
        <f t="shared" si="20"/>
        <v>No</v>
      </c>
      <c r="O424">
        <f>SUMIF('raw data'!B$2:B$501,B424,'raw data'!I$2:I$501)</f>
        <v>4195.3999999999996</v>
      </c>
      <c r="P424" t="str">
        <f>IF(OR(I424&lt;Visualization!$B$6,I424&gt;Visualization!$B$7),"Outlier","Normal")</f>
        <v>Outlier</v>
      </c>
    </row>
    <row r="425" spans="1:16" x14ac:dyDescent="0.35">
      <c r="A425" s="6" t="s">
        <v>432</v>
      </c>
      <c r="B425" s="15">
        <v>45237</v>
      </c>
      <c r="C425" s="6" t="s">
        <v>531</v>
      </c>
      <c r="D425" s="6" t="s">
        <v>612</v>
      </c>
      <c r="E425" s="6" t="s">
        <v>679</v>
      </c>
      <c r="F425" s="6">
        <v>2</v>
      </c>
      <c r="G425" s="6"/>
      <c r="H425" s="6">
        <v>10</v>
      </c>
      <c r="I425" s="6"/>
      <c r="J425" s="6" t="str">
        <f>IF(I425&gt;formulas!$B$5,"yes","no")</f>
        <v>no</v>
      </c>
      <c r="K425" s="6" t="str">
        <f t="shared" si="18"/>
        <v>yes</v>
      </c>
      <c r="L425" s="6" t="str">
        <f>IF(COUNTIF('raw data'!$B$2:$B$501,B425)&gt;1,"Yes","No")</f>
        <v>No</v>
      </c>
      <c r="M425" t="str">
        <f t="shared" si="19"/>
        <v>no</v>
      </c>
      <c r="N425" t="str">
        <f t="shared" si="20"/>
        <v>No</v>
      </c>
      <c r="O425">
        <f>SUMIF('raw data'!B$2:B$501,B425,'raw data'!I$2:I$501)</f>
        <v>0</v>
      </c>
      <c r="P425" t="str">
        <f>IF(OR(I425&lt;Visualization!$B$6,I425&gt;Visualization!$B$7),"Outlier","Normal")</f>
        <v>Normal</v>
      </c>
    </row>
    <row r="426" spans="1:16" x14ac:dyDescent="0.35">
      <c r="A426" s="6" t="s">
        <v>433</v>
      </c>
      <c r="B426" s="15">
        <v>45234</v>
      </c>
      <c r="C426" s="6" t="s">
        <v>566</v>
      </c>
      <c r="D426" s="6" t="s">
        <v>611</v>
      </c>
      <c r="E426" s="6" t="s">
        <v>682</v>
      </c>
      <c r="F426" s="6">
        <v>4</v>
      </c>
      <c r="G426" s="6">
        <v>499</v>
      </c>
      <c r="H426" s="6">
        <v>5</v>
      </c>
      <c r="I426" s="6">
        <v>1896.2</v>
      </c>
      <c r="J426" s="6" t="str">
        <f>IF(I426&gt;formulas!$B$5,"yes","no")</f>
        <v>yes</v>
      </c>
      <c r="K426" s="6" t="str">
        <f t="shared" si="18"/>
        <v>yes</v>
      </c>
      <c r="L426" s="6" t="str">
        <f>IF(COUNTIF('raw data'!$B$2:$B$501,B426)&gt;1,"Yes","No")</f>
        <v>Yes</v>
      </c>
      <c r="M426" t="str">
        <f t="shared" si="19"/>
        <v>no</v>
      </c>
      <c r="N426" t="str">
        <f t="shared" si="20"/>
        <v>Yes</v>
      </c>
      <c r="O426">
        <f>SUMIF('raw data'!B$2:B$501,B426,'raw data'!I$2:I$501)</f>
        <v>4443.6499999999996</v>
      </c>
      <c r="P426" t="str">
        <f>IF(OR(I426&lt;Visualization!$B$6,I426&gt;Visualization!$B$7),"Outlier","Normal")</f>
        <v>Outlier</v>
      </c>
    </row>
    <row r="427" spans="1:16" x14ac:dyDescent="0.35">
      <c r="A427" s="6" t="s">
        <v>434</v>
      </c>
      <c r="B427" s="15">
        <v>45070</v>
      </c>
      <c r="C427" s="6" t="s">
        <v>606</v>
      </c>
      <c r="D427" s="6" t="s">
        <v>612</v>
      </c>
      <c r="E427" s="6" t="s">
        <v>661</v>
      </c>
      <c r="F427" s="6">
        <v>4</v>
      </c>
      <c r="G427" s="6">
        <v>199</v>
      </c>
      <c r="H427" s="6">
        <v>0</v>
      </c>
      <c r="I427" s="6">
        <v>796</v>
      </c>
      <c r="J427" s="6" t="str">
        <f>IF(I427&gt;formulas!$B$5,"yes","no")</f>
        <v>no</v>
      </c>
      <c r="K427" s="6" t="str">
        <f t="shared" si="18"/>
        <v>no</v>
      </c>
      <c r="L427" s="6" t="str">
        <f>IF(COUNTIF('raw data'!$B$2:$B$501,B427)&gt;1,"Yes","No")</f>
        <v>Yes</v>
      </c>
      <c r="M427" t="str">
        <f t="shared" si="19"/>
        <v>no</v>
      </c>
      <c r="N427" t="str">
        <f t="shared" si="20"/>
        <v>No</v>
      </c>
      <c r="O427">
        <f>SUMIF('raw data'!B$2:B$501,B427,'raw data'!I$2:I$501)</f>
        <v>3092.35</v>
      </c>
      <c r="P427" t="str">
        <f>IF(OR(I427&lt;Visualization!$B$6,I427&gt;Visualization!$B$7),"Outlier","Normal")</f>
        <v>Outlier</v>
      </c>
    </row>
    <row r="428" spans="1:16" x14ac:dyDescent="0.35">
      <c r="A428" s="6" t="s">
        <v>435</v>
      </c>
      <c r="B428" s="15">
        <v>45195</v>
      </c>
      <c r="C428" s="6" t="s">
        <v>509</v>
      </c>
      <c r="D428" s="6" t="s">
        <v>613</v>
      </c>
      <c r="E428" s="6" t="s">
        <v>645</v>
      </c>
      <c r="F428" s="6">
        <v>1</v>
      </c>
      <c r="G428" s="6">
        <v>199</v>
      </c>
      <c r="H428" s="6">
        <v>20</v>
      </c>
      <c r="I428" s="6">
        <v>159.19999999999999</v>
      </c>
      <c r="J428" s="6" t="str">
        <f>IF(I428&gt;formulas!$B$5,"yes","no")</f>
        <v>no</v>
      </c>
      <c r="K428" s="6" t="str">
        <f t="shared" si="18"/>
        <v>yes</v>
      </c>
      <c r="L428" s="6" t="str">
        <f>IF(COUNTIF('raw data'!$B$2:$B$501,B428)&gt;1,"Yes","No")</f>
        <v>No</v>
      </c>
      <c r="M428" t="str">
        <f t="shared" si="19"/>
        <v>yes</v>
      </c>
      <c r="N428" t="str">
        <f t="shared" si="20"/>
        <v>No</v>
      </c>
      <c r="O428">
        <f>SUMIF('raw data'!B$2:B$501,B428,'raw data'!I$2:I$501)</f>
        <v>159.19999999999999</v>
      </c>
      <c r="P428" t="str">
        <f>IF(OR(I428&lt;Visualization!$B$6,I428&gt;Visualization!$B$7),"Outlier","Normal")</f>
        <v>Outlier</v>
      </c>
    </row>
    <row r="429" spans="1:16" x14ac:dyDescent="0.35">
      <c r="A429" s="6" t="s">
        <v>436</v>
      </c>
      <c r="B429" s="15">
        <v>45050</v>
      </c>
      <c r="C429" s="6" t="s">
        <v>536</v>
      </c>
      <c r="D429" s="6" t="s">
        <v>612</v>
      </c>
      <c r="E429" s="6" t="s">
        <v>694</v>
      </c>
      <c r="F429" s="6"/>
      <c r="G429" s="6">
        <v>1499</v>
      </c>
      <c r="H429" s="6"/>
      <c r="I429" s="6"/>
      <c r="J429" s="6" t="str">
        <f>IF(I429&gt;formulas!$B$5,"yes","no")</f>
        <v>no</v>
      </c>
      <c r="K429" s="6" t="str">
        <f t="shared" si="18"/>
        <v>no</v>
      </c>
      <c r="L429" s="6" t="str">
        <f>IF(COUNTIF('raw data'!$B$2:$B$501,B429)&gt;1,"Yes","No")</f>
        <v>Yes</v>
      </c>
      <c r="M429" t="str">
        <f t="shared" si="19"/>
        <v>no</v>
      </c>
      <c r="N429" t="str">
        <f t="shared" si="20"/>
        <v>No</v>
      </c>
      <c r="O429">
        <f>SUMIF('raw data'!B$2:B$501,B429,'raw data'!I$2:I$501)</f>
        <v>179.1</v>
      </c>
      <c r="P429" t="str">
        <f>IF(OR(I429&lt;Visualization!$B$6,I429&gt;Visualization!$B$7),"Outlier","Normal")</f>
        <v>Normal</v>
      </c>
    </row>
    <row r="430" spans="1:16" x14ac:dyDescent="0.35">
      <c r="A430" s="6" t="s">
        <v>437</v>
      </c>
      <c r="B430" s="15">
        <v>45032</v>
      </c>
      <c r="C430" s="6" t="s">
        <v>577</v>
      </c>
      <c r="D430" s="6" t="s">
        <v>613</v>
      </c>
      <c r="E430" s="6" t="s">
        <v>711</v>
      </c>
      <c r="F430" s="6">
        <v>3</v>
      </c>
      <c r="G430" s="6">
        <v>1499</v>
      </c>
      <c r="H430" s="6">
        <v>15</v>
      </c>
      <c r="I430" s="6">
        <v>3822.45</v>
      </c>
      <c r="J430" s="6" t="str">
        <f>IF(I430&gt;formulas!$B$5,"yes","no")</f>
        <v>yes</v>
      </c>
      <c r="K430" s="6" t="str">
        <f t="shared" si="18"/>
        <v>yes</v>
      </c>
      <c r="L430" s="6" t="str">
        <f>IF(COUNTIF('raw data'!$B$2:$B$501,B430)&gt;1,"Yes","No")</f>
        <v>Yes</v>
      </c>
      <c r="M430" t="str">
        <f t="shared" si="19"/>
        <v>no</v>
      </c>
      <c r="N430" t="str">
        <f t="shared" si="20"/>
        <v>Yes</v>
      </c>
      <c r="O430">
        <f>SUMIF('raw data'!B$2:B$501,B430,'raw data'!I$2:I$501)</f>
        <v>8068.2</v>
      </c>
      <c r="P430" t="str">
        <f>IF(OR(I430&lt;Visualization!$B$6,I430&gt;Visualization!$B$7),"Outlier","Normal")</f>
        <v>Outlier</v>
      </c>
    </row>
    <row r="431" spans="1:16" x14ac:dyDescent="0.35">
      <c r="A431" s="6" t="s">
        <v>438</v>
      </c>
      <c r="B431" s="15">
        <v>45084</v>
      </c>
      <c r="C431" s="6" t="s">
        <v>559</v>
      </c>
      <c r="D431" s="6" t="s">
        <v>611</v>
      </c>
      <c r="E431" s="6" t="s">
        <v>683</v>
      </c>
      <c r="F431" s="6">
        <v>0</v>
      </c>
      <c r="G431" s="6">
        <v>999</v>
      </c>
      <c r="H431" s="6">
        <v>20</v>
      </c>
      <c r="I431" s="6">
        <v>0</v>
      </c>
      <c r="J431" s="6" t="str">
        <f>IF(I431&gt;formulas!$B$5,"yes","no")</f>
        <v>no</v>
      </c>
      <c r="K431" s="6" t="str">
        <f t="shared" si="18"/>
        <v>yes</v>
      </c>
      <c r="L431" s="6" t="str">
        <f>IF(COUNTIF('raw data'!$B$2:$B$501,B431)&gt;1,"Yes","No")</f>
        <v>Yes</v>
      </c>
      <c r="M431" t="str">
        <f t="shared" si="19"/>
        <v>yes</v>
      </c>
      <c r="N431" t="str">
        <f t="shared" si="20"/>
        <v>No</v>
      </c>
      <c r="O431">
        <f>SUMIF('raw data'!B$2:B$501,B431,'raw data'!I$2:I$501)</f>
        <v>3298.3500000000004</v>
      </c>
      <c r="P431" t="str">
        <f>IF(OR(I431&lt;Visualization!$B$6,I431&gt;Visualization!$B$7),"Outlier","Normal")</f>
        <v>Normal</v>
      </c>
    </row>
    <row r="432" spans="1:16" x14ac:dyDescent="0.35">
      <c r="A432" s="6" t="s">
        <v>439</v>
      </c>
      <c r="B432" s="15">
        <v>45073</v>
      </c>
      <c r="C432" s="6" t="s">
        <v>594</v>
      </c>
      <c r="D432" s="6" t="s">
        <v>609</v>
      </c>
      <c r="E432" s="6" t="s">
        <v>674</v>
      </c>
      <c r="F432" s="6">
        <v>1</v>
      </c>
      <c r="G432" s="6">
        <v>299</v>
      </c>
      <c r="H432" s="6">
        <v>15</v>
      </c>
      <c r="I432" s="6">
        <v>254.15</v>
      </c>
      <c r="J432" s="6" t="str">
        <f>IF(I432&gt;formulas!$B$5,"yes","no")</f>
        <v>no</v>
      </c>
      <c r="K432" s="6" t="str">
        <f t="shared" si="18"/>
        <v>yes</v>
      </c>
      <c r="L432" s="6" t="str">
        <f>IF(COUNTIF('raw data'!$B$2:$B$501,B432)&gt;1,"Yes","No")</f>
        <v>Yes</v>
      </c>
      <c r="M432" t="str">
        <f t="shared" si="19"/>
        <v>no</v>
      </c>
      <c r="N432" t="str">
        <f t="shared" si="20"/>
        <v>No</v>
      </c>
      <c r="O432">
        <f>SUMIF('raw data'!B$2:B$501,B432,'raw data'!I$2:I$501)</f>
        <v>12043.649999999998</v>
      </c>
      <c r="P432" t="str">
        <f>IF(OR(I432&lt;Visualization!$B$6,I432&gt;Visualization!$B$7),"Outlier","Normal")</f>
        <v>Outlier</v>
      </c>
    </row>
    <row r="433" spans="1:16" x14ac:dyDescent="0.35">
      <c r="A433" s="6" t="s">
        <v>440</v>
      </c>
      <c r="B433" s="15">
        <v>45071</v>
      </c>
      <c r="C433" s="6" t="s">
        <v>538</v>
      </c>
      <c r="D433" s="6" t="s">
        <v>612</v>
      </c>
      <c r="E433" s="6" t="s">
        <v>616</v>
      </c>
      <c r="F433" s="6">
        <v>1</v>
      </c>
      <c r="G433" s="6">
        <v>999</v>
      </c>
      <c r="H433" s="6">
        <v>10</v>
      </c>
      <c r="I433" s="6">
        <v>899.1</v>
      </c>
      <c r="J433" s="6" t="str">
        <f>IF(I433&gt;formulas!$B$5,"yes","no")</f>
        <v>no</v>
      </c>
      <c r="K433" s="6" t="str">
        <f t="shared" si="18"/>
        <v>yes</v>
      </c>
      <c r="L433" s="6" t="str">
        <f>IF(COUNTIF('raw data'!$B$2:$B$501,B433)&gt;1,"Yes","No")</f>
        <v>No</v>
      </c>
      <c r="M433" t="str">
        <f t="shared" si="19"/>
        <v>no</v>
      </c>
      <c r="N433" t="str">
        <f t="shared" si="20"/>
        <v>No</v>
      </c>
      <c r="O433">
        <f>SUMIF('raw data'!B$2:B$501,B433,'raw data'!I$2:I$501)</f>
        <v>899.1</v>
      </c>
      <c r="P433" t="str">
        <f>IF(OR(I433&lt;Visualization!$B$6,I433&gt;Visualization!$B$7),"Outlier","Normal")</f>
        <v>Outlier</v>
      </c>
    </row>
    <row r="434" spans="1:16" x14ac:dyDescent="0.35">
      <c r="A434" s="6" t="s">
        <v>441</v>
      </c>
      <c r="B434" s="15">
        <v>45046</v>
      </c>
      <c r="C434" s="6" t="s">
        <v>591</v>
      </c>
      <c r="D434" s="6" t="s">
        <v>609</v>
      </c>
      <c r="E434" s="6" t="s">
        <v>706</v>
      </c>
      <c r="F434" s="6">
        <v>1</v>
      </c>
      <c r="G434" s="6">
        <v>499</v>
      </c>
      <c r="H434" s="6">
        <v>15</v>
      </c>
      <c r="I434" s="6">
        <v>424.15</v>
      </c>
      <c r="J434" s="6" t="str">
        <f>IF(I434&gt;formulas!$B$5,"yes","no")</f>
        <v>no</v>
      </c>
      <c r="K434" s="6" t="str">
        <f t="shared" si="18"/>
        <v>yes</v>
      </c>
      <c r="L434" s="6" t="str">
        <f>IF(COUNTIF('raw data'!$B$2:$B$501,B434)&gt;1,"Yes","No")</f>
        <v>Yes</v>
      </c>
      <c r="M434" t="str">
        <f t="shared" si="19"/>
        <v>no</v>
      </c>
      <c r="N434" t="str">
        <f t="shared" si="20"/>
        <v>No</v>
      </c>
      <c r="O434">
        <f>SUMIF('raw data'!B$2:B$501,B434,'raw data'!I$2:I$501)</f>
        <v>424.15</v>
      </c>
      <c r="P434" t="str">
        <f>IF(OR(I434&lt;Visualization!$B$6,I434&gt;Visualization!$B$7),"Outlier","Normal")</f>
        <v>Outlier</v>
      </c>
    </row>
    <row r="435" spans="1:16" x14ac:dyDescent="0.35">
      <c r="A435" s="6" t="s">
        <v>442</v>
      </c>
      <c r="B435" s="15">
        <v>45245</v>
      </c>
      <c r="C435" s="6" t="s">
        <v>552</v>
      </c>
      <c r="D435" s="6" t="s">
        <v>613</v>
      </c>
      <c r="E435" s="6" t="s">
        <v>633</v>
      </c>
      <c r="F435" s="6"/>
      <c r="G435" s="6">
        <v>999</v>
      </c>
      <c r="H435" s="6">
        <v>10</v>
      </c>
      <c r="I435" s="6"/>
      <c r="J435" s="6" t="str">
        <f>IF(I435&gt;formulas!$B$5,"yes","no")</f>
        <v>no</v>
      </c>
      <c r="K435" s="6" t="str">
        <f t="shared" si="18"/>
        <v>yes</v>
      </c>
      <c r="L435" s="6" t="str">
        <f>IF(COUNTIF('raw data'!$B$2:$B$501,B435)&gt;1,"Yes","No")</f>
        <v>No</v>
      </c>
      <c r="M435" t="str">
        <f t="shared" si="19"/>
        <v>no</v>
      </c>
      <c r="N435" t="str">
        <f t="shared" si="20"/>
        <v>No</v>
      </c>
      <c r="O435">
        <f>SUMIF('raw data'!B$2:B$501,B435,'raw data'!I$2:I$501)</f>
        <v>0</v>
      </c>
      <c r="P435" t="str">
        <f>IF(OR(I435&lt;Visualization!$B$6,I435&gt;Visualization!$B$7),"Outlier","Normal")</f>
        <v>Normal</v>
      </c>
    </row>
    <row r="436" spans="1:16" x14ac:dyDescent="0.35">
      <c r="A436" s="6" t="s">
        <v>443</v>
      </c>
      <c r="B436" s="15">
        <v>45201</v>
      </c>
      <c r="C436" s="6" t="s">
        <v>579</v>
      </c>
      <c r="D436" s="6" t="s">
        <v>612</v>
      </c>
      <c r="E436" s="6" t="s">
        <v>615</v>
      </c>
      <c r="F436" s="6">
        <v>2</v>
      </c>
      <c r="G436" s="6"/>
      <c r="H436" s="6">
        <v>0</v>
      </c>
      <c r="I436" s="6"/>
      <c r="J436" s="6" t="str">
        <f>IF(I436&gt;formulas!$B$5,"yes","no")</f>
        <v>no</v>
      </c>
      <c r="K436" s="6" t="str">
        <f t="shared" si="18"/>
        <v>no</v>
      </c>
      <c r="L436" s="6" t="str">
        <f>IF(COUNTIF('raw data'!$B$2:$B$501,B436)&gt;1,"Yes","No")</f>
        <v>No</v>
      </c>
      <c r="M436" t="str">
        <f t="shared" si="19"/>
        <v>no</v>
      </c>
      <c r="N436" t="str">
        <f t="shared" si="20"/>
        <v>No</v>
      </c>
      <c r="O436">
        <f>SUMIF('raw data'!B$2:B$501,B436,'raw data'!I$2:I$501)</f>
        <v>0</v>
      </c>
      <c r="P436" t="str">
        <f>IF(OR(I436&lt;Visualization!$B$6,I436&gt;Visualization!$B$7),"Outlier","Normal")</f>
        <v>Normal</v>
      </c>
    </row>
    <row r="437" spans="1:16" x14ac:dyDescent="0.35">
      <c r="A437" s="6" t="s">
        <v>444</v>
      </c>
      <c r="B437" s="15">
        <v>45018</v>
      </c>
      <c r="C437" s="6" t="s">
        <v>582</v>
      </c>
      <c r="D437" s="6" t="s">
        <v>610</v>
      </c>
      <c r="E437" s="6" t="s">
        <v>631</v>
      </c>
      <c r="F437" s="6">
        <v>4</v>
      </c>
      <c r="G437" s="6">
        <v>499</v>
      </c>
      <c r="H437" s="6">
        <v>15</v>
      </c>
      <c r="I437" s="6">
        <v>1696.6</v>
      </c>
      <c r="J437" s="6" t="str">
        <f>IF(I437&gt;formulas!$B$5,"yes","no")</f>
        <v>yes</v>
      </c>
      <c r="K437" s="6" t="str">
        <f t="shared" si="18"/>
        <v>yes</v>
      </c>
      <c r="L437" s="6" t="str">
        <f>IF(COUNTIF('raw data'!$B$2:$B$501,B437)&gt;1,"Yes","No")</f>
        <v>Yes</v>
      </c>
      <c r="M437" t="str">
        <f t="shared" si="19"/>
        <v>no</v>
      </c>
      <c r="N437" t="str">
        <f t="shared" si="20"/>
        <v>Yes</v>
      </c>
      <c r="O437">
        <f>SUMIF('raw data'!B$2:B$501,B437,'raw data'!I$2:I$501)</f>
        <v>2892.6</v>
      </c>
      <c r="P437" t="str">
        <f>IF(OR(I437&lt;Visualization!$B$6,I437&gt;Visualization!$B$7),"Outlier","Normal")</f>
        <v>Outlier</v>
      </c>
    </row>
    <row r="438" spans="1:16" x14ac:dyDescent="0.35">
      <c r="A438" s="6" t="s">
        <v>445</v>
      </c>
      <c r="B438" s="15">
        <v>44984</v>
      </c>
      <c r="C438" s="6" t="s">
        <v>548</v>
      </c>
      <c r="D438" s="6" t="s">
        <v>609</v>
      </c>
      <c r="E438" s="6" t="s">
        <v>659</v>
      </c>
      <c r="F438" s="6">
        <v>2</v>
      </c>
      <c r="G438" s="6">
        <v>1499</v>
      </c>
      <c r="H438" s="6">
        <v>20</v>
      </c>
      <c r="I438" s="6">
        <v>2398.4</v>
      </c>
      <c r="J438" s="6" t="str">
        <f>IF(I438&gt;formulas!$B$5,"yes","no")</f>
        <v>yes</v>
      </c>
      <c r="K438" s="6" t="str">
        <f t="shared" si="18"/>
        <v>yes</v>
      </c>
      <c r="L438" s="6" t="str">
        <f>IF(COUNTIF('raw data'!$B$2:$B$501,B438)&gt;1,"Yes","No")</f>
        <v>Yes</v>
      </c>
      <c r="M438" t="str">
        <f t="shared" si="19"/>
        <v>yes</v>
      </c>
      <c r="N438" t="str">
        <f t="shared" si="20"/>
        <v>Yes</v>
      </c>
      <c r="O438">
        <f>SUMIF('raw data'!B$2:B$501,B438,'raw data'!I$2:I$501)</f>
        <v>3869.8500000000004</v>
      </c>
      <c r="P438" t="str">
        <f>IF(OR(I438&lt;Visualization!$B$6,I438&gt;Visualization!$B$7),"Outlier","Normal")</f>
        <v>Outlier</v>
      </c>
    </row>
    <row r="439" spans="1:16" x14ac:dyDescent="0.35">
      <c r="A439" s="6" t="s">
        <v>446</v>
      </c>
      <c r="B439" s="15">
        <v>45272</v>
      </c>
      <c r="C439" s="6" t="s">
        <v>598</v>
      </c>
      <c r="D439" s="6" t="s">
        <v>612</v>
      </c>
      <c r="E439" s="6" t="s">
        <v>633</v>
      </c>
      <c r="F439" s="6">
        <v>1</v>
      </c>
      <c r="G439" s="6">
        <v>199</v>
      </c>
      <c r="H439" s="6">
        <v>10</v>
      </c>
      <c r="I439" s="6">
        <v>179.1</v>
      </c>
      <c r="J439" s="6" t="str">
        <f>IF(I439&gt;formulas!$B$5,"yes","no")</f>
        <v>no</v>
      </c>
      <c r="K439" s="6" t="str">
        <f t="shared" si="18"/>
        <v>yes</v>
      </c>
      <c r="L439" s="6" t="str">
        <f>IF(COUNTIF('raw data'!$B$2:$B$501,B439)&gt;1,"Yes","No")</f>
        <v>Yes</v>
      </c>
      <c r="M439" t="str">
        <f t="shared" si="19"/>
        <v>no</v>
      </c>
      <c r="N439" t="str">
        <f t="shared" si="20"/>
        <v>No</v>
      </c>
      <c r="O439">
        <f>SUMIF('raw data'!B$2:B$501,B439,'raw data'!I$2:I$501)</f>
        <v>3653.7</v>
      </c>
      <c r="P439" t="str">
        <f>IF(OR(I439&lt;Visualization!$B$6,I439&gt;Visualization!$B$7),"Outlier","Normal")</f>
        <v>Outlier</v>
      </c>
    </row>
    <row r="440" spans="1:16" x14ac:dyDescent="0.35">
      <c r="A440" s="6" t="s">
        <v>447</v>
      </c>
      <c r="B440" s="15">
        <v>45155</v>
      </c>
      <c r="C440" s="6" t="s">
        <v>547</v>
      </c>
      <c r="D440" s="6" t="s">
        <v>609</v>
      </c>
      <c r="E440" s="6" t="s">
        <v>668</v>
      </c>
      <c r="F440" s="6">
        <v>2</v>
      </c>
      <c r="G440" s="6">
        <v>1499</v>
      </c>
      <c r="H440" s="6">
        <v>20</v>
      </c>
      <c r="I440" s="6">
        <v>2398.4</v>
      </c>
      <c r="J440" s="6" t="str">
        <f>IF(I440&gt;formulas!$B$5,"yes","no")</f>
        <v>yes</v>
      </c>
      <c r="K440" s="6" t="str">
        <f t="shared" si="18"/>
        <v>yes</v>
      </c>
      <c r="L440" s="6" t="str">
        <f>IF(COUNTIF('raw data'!$B$2:$B$501,B440)&gt;1,"Yes","No")</f>
        <v>No</v>
      </c>
      <c r="M440" t="str">
        <f t="shared" si="19"/>
        <v>yes</v>
      </c>
      <c r="N440" t="str">
        <f t="shared" si="20"/>
        <v>No</v>
      </c>
      <c r="O440">
        <f>SUMIF('raw data'!B$2:B$501,B440,'raw data'!I$2:I$501)</f>
        <v>2398.4</v>
      </c>
      <c r="P440" t="str">
        <f>IF(OR(I440&lt;Visualization!$B$6,I440&gt;Visualization!$B$7),"Outlier","Normal")</f>
        <v>Outlier</v>
      </c>
    </row>
    <row r="441" spans="1:16" x14ac:dyDescent="0.35">
      <c r="A441" s="6" t="s">
        <v>448</v>
      </c>
      <c r="B441" s="15">
        <v>45043</v>
      </c>
      <c r="C441" s="6" t="s">
        <v>543</v>
      </c>
      <c r="D441" s="6" t="s">
        <v>612</v>
      </c>
      <c r="E441" s="6" t="s">
        <v>706</v>
      </c>
      <c r="F441" s="6">
        <v>1</v>
      </c>
      <c r="G441" s="6">
        <v>299</v>
      </c>
      <c r="H441" s="6">
        <v>5</v>
      </c>
      <c r="I441" s="6">
        <v>284.05</v>
      </c>
      <c r="J441" s="6" t="str">
        <f>IF(I441&gt;formulas!$B$5,"yes","no")</f>
        <v>no</v>
      </c>
      <c r="K441" s="6" t="str">
        <f t="shared" si="18"/>
        <v>yes</v>
      </c>
      <c r="L441" s="6" t="str">
        <f>IF(COUNTIF('raw data'!$B$2:$B$501,B441)&gt;1,"Yes","No")</f>
        <v>No</v>
      </c>
      <c r="M441" t="str">
        <f t="shared" si="19"/>
        <v>no</v>
      </c>
      <c r="N441" t="str">
        <f t="shared" si="20"/>
        <v>No</v>
      </c>
      <c r="O441">
        <f>SUMIF('raw data'!B$2:B$501,B441,'raw data'!I$2:I$501)</f>
        <v>284.05</v>
      </c>
      <c r="P441" t="str">
        <f>IF(OR(I441&lt;Visualization!$B$6,I441&gt;Visualization!$B$7),"Outlier","Normal")</f>
        <v>Outlier</v>
      </c>
    </row>
    <row r="442" spans="1:16" x14ac:dyDescent="0.35">
      <c r="A442" s="6" t="s">
        <v>449</v>
      </c>
      <c r="B442" s="15">
        <v>45244</v>
      </c>
      <c r="C442" s="6" t="s">
        <v>565</v>
      </c>
      <c r="D442" s="6" t="s">
        <v>611</v>
      </c>
      <c r="E442" s="6" t="s">
        <v>649</v>
      </c>
      <c r="F442" s="6">
        <v>2</v>
      </c>
      <c r="G442" s="6">
        <v>499</v>
      </c>
      <c r="H442" s="6">
        <v>10</v>
      </c>
      <c r="I442" s="6">
        <v>898.2</v>
      </c>
      <c r="J442" s="6" t="str">
        <f>IF(I442&gt;formulas!$B$5,"yes","no")</f>
        <v>no</v>
      </c>
      <c r="K442" s="6" t="str">
        <f t="shared" si="18"/>
        <v>yes</v>
      </c>
      <c r="L442" s="6" t="str">
        <f>IF(COUNTIF('raw data'!$B$2:$B$501,B442)&gt;1,"Yes","No")</f>
        <v>Yes</v>
      </c>
      <c r="M442" t="str">
        <f t="shared" si="19"/>
        <v>no</v>
      </c>
      <c r="N442" t="str">
        <f t="shared" si="20"/>
        <v>No</v>
      </c>
      <c r="O442">
        <f>SUMIF('raw data'!B$2:B$501,B442,'raw data'!I$2:I$501)</f>
        <v>2894.2</v>
      </c>
      <c r="P442" t="str">
        <f>IF(OR(I442&lt;Visualization!$B$6,I442&gt;Visualization!$B$7),"Outlier","Normal")</f>
        <v>Outlier</v>
      </c>
    </row>
    <row r="443" spans="1:16" x14ac:dyDescent="0.35">
      <c r="A443" s="6" t="s">
        <v>450</v>
      </c>
      <c r="B443" s="15">
        <v>45205</v>
      </c>
      <c r="C443" s="6" t="s">
        <v>525</v>
      </c>
      <c r="D443" s="6" t="s">
        <v>609</v>
      </c>
      <c r="E443" s="6" t="s">
        <v>645</v>
      </c>
      <c r="F443" s="6">
        <v>5</v>
      </c>
      <c r="G443" s="6">
        <v>499</v>
      </c>
      <c r="H443" s="6">
        <v>15</v>
      </c>
      <c r="I443" s="6">
        <v>2120.75</v>
      </c>
      <c r="J443" s="6" t="str">
        <f>IF(I443&gt;formulas!$B$5,"yes","no")</f>
        <v>yes</v>
      </c>
      <c r="K443" s="6" t="str">
        <f t="shared" si="18"/>
        <v>yes</v>
      </c>
      <c r="L443" s="6" t="str">
        <f>IF(COUNTIF('raw data'!$B$2:$B$501,B443)&gt;1,"Yes","No")</f>
        <v>No</v>
      </c>
      <c r="M443" t="str">
        <f t="shared" si="19"/>
        <v>no</v>
      </c>
      <c r="N443" t="str">
        <f t="shared" si="20"/>
        <v>No</v>
      </c>
      <c r="O443">
        <f>SUMIF('raw data'!B$2:B$501,B443,'raw data'!I$2:I$501)</f>
        <v>2120.75</v>
      </c>
      <c r="P443" t="str">
        <f>IF(OR(I443&lt;Visualization!$B$6,I443&gt;Visualization!$B$7),"Outlier","Normal")</f>
        <v>Outlier</v>
      </c>
    </row>
    <row r="444" spans="1:16" x14ac:dyDescent="0.35">
      <c r="A444" s="6" t="s">
        <v>451</v>
      </c>
      <c r="B444" s="15">
        <v>45053</v>
      </c>
      <c r="C444" s="6" t="s">
        <v>575</v>
      </c>
      <c r="D444" s="6" t="s">
        <v>610</v>
      </c>
      <c r="E444" s="6" t="s">
        <v>698</v>
      </c>
      <c r="F444" s="6">
        <v>2</v>
      </c>
      <c r="G444" s="6"/>
      <c r="H444" s="6">
        <v>10</v>
      </c>
      <c r="I444" s="6"/>
      <c r="J444" s="6" t="str">
        <f>IF(I444&gt;formulas!$B$5,"yes","no")</f>
        <v>no</v>
      </c>
      <c r="K444" s="6" t="str">
        <f t="shared" si="18"/>
        <v>yes</v>
      </c>
      <c r="L444" s="6" t="str">
        <f>IF(COUNTIF('raw data'!$B$2:$B$501,B444)&gt;1,"Yes","No")</f>
        <v>Yes</v>
      </c>
      <c r="M444" t="str">
        <f t="shared" si="19"/>
        <v>no</v>
      </c>
      <c r="N444" t="str">
        <f t="shared" si="20"/>
        <v>No</v>
      </c>
      <c r="O444">
        <f>SUMIF('raw data'!B$2:B$501,B444,'raw data'!I$2:I$501)</f>
        <v>0</v>
      </c>
      <c r="P444" t="str">
        <f>IF(OR(I444&lt;Visualization!$B$6,I444&gt;Visualization!$B$7),"Outlier","Normal")</f>
        <v>Normal</v>
      </c>
    </row>
    <row r="445" spans="1:16" x14ac:dyDescent="0.35">
      <c r="A445" s="6" t="s">
        <v>452</v>
      </c>
      <c r="B445" s="15">
        <v>45055</v>
      </c>
      <c r="C445" s="6" t="s">
        <v>574</v>
      </c>
      <c r="D445" s="6" t="s">
        <v>610</v>
      </c>
      <c r="E445" s="6" t="s">
        <v>673</v>
      </c>
      <c r="F445" s="6">
        <v>3</v>
      </c>
      <c r="G445" s="6">
        <v>299</v>
      </c>
      <c r="H445" s="6">
        <v>20</v>
      </c>
      <c r="I445" s="6">
        <v>717.6</v>
      </c>
      <c r="J445" s="6" t="str">
        <f>IF(I445&gt;formulas!$B$5,"yes","no")</f>
        <v>no</v>
      </c>
      <c r="K445" s="6" t="str">
        <f t="shared" si="18"/>
        <v>yes</v>
      </c>
      <c r="L445" s="6" t="str">
        <f>IF(COUNTIF('raw data'!$B$2:$B$501,B445)&gt;1,"Yes","No")</f>
        <v>Yes</v>
      </c>
      <c r="M445" t="str">
        <f t="shared" si="19"/>
        <v>yes</v>
      </c>
      <c r="N445" t="str">
        <f t="shared" si="20"/>
        <v>No</v>
      </c>
      <c r="O445">
        <f>SUMIF('raw data'!B$2:B$501,B445,'raw data'!I$2:I$501)</f>
        <v>5564.75</v>
      </c>
      <c r="P445" t="str">
        <f>IF(OR(I445&lt;Visualization!$B$6,I445&gt;Visualization!$B$7),"Outlier","Normal")</f>
        <v>Outlier</v>
      </c>
    </row>
    <row r="446" spans="1:16" x14ac:dyDescent="0.35">
      <c r="A446" s="6" t="s">
        <v>453</v>
      </c>
      <c r="B446" s="15">
        <v>44984</v>
      </c>
      <c r="C446" s="6" t="s">
        <v>557</v>
      </c>
      <c r="D446" s="6" t="s">
        <v>613</v>
      </c>
      <c r="E446" s="6" t="s">
        <v>697</v>
      </c>
      <c r="F446" s="6">
        <v>1</v>
      </c>
      <c r="G446" s="6">
        <v>199</v>
      </c>
      <c r="H446" s="6">
        <v>0</v>
      </c>
      <c r="I446" s="6">
        <v>199</v>
      </c>
      <c r="J446" s="6" t="str">
        <f>IF(I446&gt;formulas!$B$5,"yes","no")</f>
        <v>no</v>
      </c>
      <c r="K446" s="6" t="str">
        <f t="shared" si="18"/>
        <v>no</v>
      </c>
      <c r="L446" s="6" t="str">
        <f>IF(COUNTIF('raw data'!$B$2:$B$501,B446)&gt;1,"Yes","No")</f>
        <v>Yes</v>
      </c>
      <c r="M446" t="str">
        <f t="shared" si="19"/>
        <v>no</v>
      </c>
      <c r="N446" t="str">
        <f t="shared" si="20"/>
        <v>No</v>
      </c>
      <c r="O446">
        <f>SUMIF('raw data'!B$2:B$501,B446,'raw data'!I$2:I$501)</f>
        <v>3869.8500000000004</v>
      </c>
      <c r="P446" t="str">
        <f>IF(OR(I446&lt;Visualization!$B$6,I446&gt;Visualization!$B$7),"Outlier","Normal")</f>
        <v>Outlier</v>
      </c>
    </row>
    <row r="447" spans="1:16" x14ac:dyDescent="0.35">
      <c r="A447" s="6" t="s">
        <v>454</v>
      </c>
      <c r="B447" s="15">
        <v>45048</v>
      </c>
      <c r="C447" s="6" t="s">
        <v>558</v>
      </c>
      <c r="D447" s="6" t="s">
        <v>612</v>
      </c>
      <c r="E447" s="6" t="s">
        <v>627</v>
      </c>
      <c r="F447" s="6">
        <v>0</v>
      </c>
      <c r="G447" s="6">
        <v>1999</v>
      </c>
      <c r="H447" s="6">
        <v>10</v>
      </c>
      <c r="I447" s="6">
        <v>0</v>
      </c>
      <c r="J447" s="6" t="str">
        <f>IF(I447&gt;formulas!$B$5,"yes","no")</f>
        <v>no</v>
      </c>
      <c r="K447" s="6" t="str">
        <f t="shared" si="18"/>
        <v>yes</v>
      </c>
      <c r="L447" s="6" t="str">
        <f>IF(COUNTIF('raw data'!$B$2:$B$501,B447)&gt;1,"Yes","No")</f>
        <v>Yes</v>
      </c>
      <c r="M447" t="str">
        <f t="shared" si="19"/>
        <v>no</v>
      </c>
      <c r="N447" t="str">
        <f t="shared" si="20"/>
        <v>No</v>
      </c>
      <c r="O447">
        <f>SUMIF('raw data'!B$2:B$501,B447,'raw data'!I$2:I$501)</f>
        <v>358.2</v>
      </c>
      <c r="P447" t="str">
        <f>IF(OR(I447&lt;Visualization!$B$6,I447&gt;Visualization!$B$7),"Outlier","Normal")</f>
        <v>Normal</v>
      </c>
    </row>
    <row r="448" spans="1:16" x14ac:dyDescent="0.35">
      <c r="A448" s="6" t="s">
        <v>455</v>
      </c>
      <c r="B448" s="15">
        <v>44927</v>
      </c>
      <c r="C448" s="6" t="s">
        <v>533</v>
      </c>
      <c r="D448" s="6" t="s">
        <v>609</v>
      </c>
      <c r="E448" s="6" t="s">
        <v>690</v>
      </c>
      <c r="F448" s="6">
        <v>1</v>
      </c>
      <c r="G448" s="6">
        <v>499</v>
      </c>
      <c r="H448" s="6">
        <v>15</v>
      </c>
      <c r="I448" s="6">
        <v>424.15</v>
      </c>
      <c r="J448" s="6" t="str">
        <f>IF(I448&gt;formulas!$B$5,"yes","no")</f>
        <v>no</v>
      </c>
      <c r="K448" s="6" t="str">
        <f t="shared" si="18"/>
        <v>yes</v>
      </c>
      <c r="L448" s="6" t="str">
        <f>IF(COUNTIF('raw data'!$B$2:$B$501,B448)&gt;1,"Yes","No")</f>
        <v>No</v>
      </c>
      <c r="M448" t="str">
        <f t="shared" si="19"/>
        <v>no</v>
      </c>
      <c r="N448" t="str">
        <f t="shared" si="20"/>
        <v>No</v>
      </c>
      <c r="O448">
        <f>SUMIF('raw data'!B$2:B$501,B448,'raw data'!I$2:I$501)</f>
        <v>424.15</v>
      </c>
      <c r="P448" t="str">
        <f>IF(OR(I448&lt;Visualization!$B$6,I448&gt;Visualization!$B$7),"Outlier","Normal")</f>
        <v>Outlier</v>
      </c>
    </row>
    <row r="449" spans="1:16" x14ac:dyDescent="0.35">
      <c r="A449" s="6" t="s">
        <v>456</v>
      </c>
      <c r="B449" s="15">
        <v>45165</v>
      </c>
      <c r="C449" s="6" t="s">
        <v>526</v>
      </c>
      <c r="D449" s="6" t="s">
        <v>613</v>
      </c>
      <c r="E449" s="6" t="s">
        <v>663</v>
      </c>
      <c r="F449" s="6">
        <v>3</v>
      </c>
      <c r="G449" s="6">
        <v>499</v>
      </c>
      <c r="H449" s="6">
        <v>5</v>
      </c>
      <c r="I449" s="6">
        <v>1422.15</v>
      </c>
      <c r="J449" s="6" t="str">
        <f>IF(I449&gt;formulas!$B$5,"yes","no")</f>
        <v>yes</v>
      </c>
      <c r="K449" s="6" t="str">
        <f t="shared" si="18"/>
        <v>yes</v>
      </c>
      <c r="L449" s="6" t="str">
        <f>IF(COUNTIF('raw data'!$B$2:$B$501,B449)&gt;1,"Yes","No")</f>
        <v>No</v>
      </c>
      <c r="M449" t="str">
        <f t="shared" si="19"/>
        <v>no</v>
      </c>
      <c r="N449" t="str">
        <f t="shared" si="20"/>
        <v>No</v>
      </c>
      <c r="O449">
        <f>SUMIF('raw data'!B$2:B$501,B449,'raw data'!I$2:I$501)</f>
        <v>1422.15</v>
      </c>
      <c r="P449" t="str">
        <f>IF(OR(I449&lt;Visualization!$B$6,I449&gt;Visualization!$B$7),"Outlier","Normal")</f>
        <v>Outlier</v>
      </c>
    </row>
    <row r="450" spans="1:16" x14ac:dyDescent="0.35">
      <c r="A450" s="6" t="s">
        <v>457</v>
      </c>
      <c r="B450" s="15">
        <v>45216</v>
      </c>
      <c r="C450" s="6" t="s">
        <v>571</v>
      </c>
      <c r="D450" s="6" t="s">
        <v>609</v>
      </c>
      <c r="E450" s="6" t="s">
        <v>705</v>
      </c>
      <c r="F450" s="6">
        <v>1</v>
      </c>
      <c r="G450" s="6"/>
      <c r="H450" s="6"/>
      <c r="I450" s="6"/>
      <c r="J450" s="6" t="str">
        <f>IF(I450&gt;formulas!$B$5,"yes","no")</f>
        <v>no</v>
      </c>
      <c r="K450" s="6" t="str">
        <f t="shared" si="18"/>
        <v>no</v>
      </c>
      <c r="L450" s="6" t="str">
        <f>IF(COUNTIF('raw data'!$B$2:$B$501,B450)&gt;1,"Yes","No")</f>
        <v>Yes</v>
      </c>
      <c r="M450" t="str">
        <f t="shared" si="19"/>
        <v>no</v>
      </c>
      <c r="N450" t="str">
        <f t="shared" si="20"/>
        <v>No</v>
      </c>
      <c r="O450">
        <f>SUMIF('raw data'!B$2:B$501,B450,'raw data'!I$2:I$501)</f>
        <v>299</v>
      </c>
      <c r="P450" t="str">
        <f>IF(OR(I450&lt;Visualization!$B$6,I450&gt;Visualization!$B$7),"Outlier","Normal")</f>
        <v>Normal</v>
      </c>
    </row>
    <row r="451" spans="1:16" x14ac:dyDescent="0.35">
      <c r="A451" s="6" t="s">
        <v>458</v>
      </c>
      <c r="B451" s="15">
        <v>45022</v>
      </c>
      <c r="C451" s="6" t="s">
        <v>557</v>
      </c>
      <c r="D451" s="6" t="s">
        <v>612</v>
      </c>
      <c r="E451" s="6" t="s">
        <v>697</v>
      </c>
      <c r="F451" s="6">
        <v>2</v>
      </c>
      <c r="G451" s="6">
        <v>999</v>
      </c>
      <c r="H451" s="6">
        <v>0</v>
      </c>
      <c r="I451" s="6">
        <v>1998</v>
      </c>
      <c r="J451" s="6" t="str">
        <f>IF(I451&gt;formulas!$B$5,"yes","no")</f>
        <v>yes</v>
      </c>
      <c r="K451" s="6" t="str">
        <f t="shared" ref="K451:K501" si="21">IF(H451&gt;0,"yes","no")</f>
        <v>no</v>
      </c>
      <c r="L451" s="6" t="str">
        <f>IF(COUNTIF('raw data'!$B$2:$B$501,B451)&gt;1,"Yes","No")</f>
        <v>Yes</v>
      </c>
      <c r="M451" t="str">
        <f t="shared" ref="M451:M501" si="22">IF(H451&gt;15,"yes","no")</f>
        <v>no</v>
      </c>
      <c r="N451" t="str">
        <f t="shared" ref="N451:N501" si="23">IF(AND(L451="Yes", J451="yes" ),"Yes","No")</f>
        <v>Yes</v>
      </c>
      <c r="O451">
        <f>SUMIF('raw data'!B$2:B$501,B451,'raw data'!I$2:I$501)</f>
        <v>7568.65</v>
      </c>
      <c r="P451" t="str">
        <f>IF(OR(I451&lt;Visualization!$B$6,I451&gt;Visualization!$B$7),"Outlier","Normal")</f>
        <v>Outlier</v>
      </c>
    </row>
    <row r="452" spans="1:16" x14ac:dyDescent="0.35">
      <c r="A452" s="6" t="s">
        <v>459</v>
      </c>
      <c r="B452" s="15">
        <v>45052</v>
      </c>
      <c r="C452" s="6" t="s">
        <v>528</v>
      </c>
      <c r="D452" s="6" t="s">
        <v>610</v>
      </c>
      <c r="E452" s="6" t="s">
        <v>641</v>
      </c>
      <c r="F452" s="6">
        <v>3</v>
      </c>
      <c r="G452" s="6">
        <v>199</v>
      </c>
      <c r="H452" s="6">
        <v>5</v>
      </c>
      <c r="I452" s="6">
        <v>567.15</v>
      </c>
      <c r="J452" s="6" t="str">
        <f>IF(I452&gt;formulas!$B$5,"yes","no")</f>
        <v>no</v>
      </c>
      <c r="K452" s="6" t="str">
        <f t="shared" si="21"/>
        <v>yes</v>
      </c>
      <c r="L452" s="6" t="str">
        <f>IF(COUNTIF('raw data'!$B$2:$B$501,B452)&gt;1,"Yes","No")</f>
        <v>Yes</v>
      </c>
      <c r="M452" t="str">
        <f t="shared" si="22"/>
        <v>no</v>
      </c>
      <c r="N452" t="str">
        <f t="shared" si="23"/>
        <v>No</v>
      </c>
      <c r="O452">
        <f>SUMIF('raw data'!B$2:B$501,B452,'raw data'!I$2:I$501)</f>
        <v>1165.1500000000001</v>
      </c>
      <c r="P452" t="str">
        <f>IF(OR(I452&lt;Visualization!$B$6,I452&gt;Visualization!$B$7),"Outlier","Normal")</f>
        <v>Outlier</v>
      </c>
    </row>
    <row r="453" spans="1:16" x14ac:dyDescent="0.35">
      <c r="A453" s="6" t="s">
        <v>460</v>
      </c>
      <c r="B453" s="15">
        <v>45044</v>
      </c>
      <c r="C453" s="6" t="s">
        <v>513</v>
      </c>
      <c r="D453" s="6" t="s">
        <v>611</v>
      </c>
      <c r="E453" s="6" t="s">
        <v>619</v>
      </c>
      <c r="F453" s="6">
        <v>2</v>
      </c>
      <c r="G453" s="6">
        <v>1499</v>
      </c>
      <c r="H453" s="6">
        <v>10</v>
      </c>
      <c r="I453" s="6">
        <v>2698.2</v>
      </c>
      <c r="J453" s="6" t="str">
        <f>IF(I453&gt;formulas!$B$5,"yes","no")</f>
        <v>yes</v>
      </c>
      <c r="K453" s="6" t="str">
        <f t="shared" si="21"/>
        <v>yes</v>
      </c>
      <c r="L453" s="6" t="str">
        <f>IF(COUNTIF('raw data'!$B$2:$B$501,B453)&gt;1,"Yes","No")</f>
        <v>No</v>
      </c>
      <c r="M453" t="str">
        <f t="shared" si="22"/>
        <v>no</v>
      </c>
      <c r="N453" t="str">
        <f t="shared" si="23"/>
        <v>No</v>
      </c>
      <c r="O453">
        <f>SUMIF('raw data'!B$2:B$501,B453,'raw data'!I$2:I$501)</f>
        <v>2698.2</v>
      </c>
      <c r="P453" t="str">
        <f>IF(OR(I453&lt;Visualization!$B$6,I453&gt;Visualization!$B$7),"Outlier","Normal")</f>
        <v>Outlier</v>
      </c>
    </row>
    <row r="454" spans="1:16" x14ac:dyDescent="0.35">
      <c r="A454" s="6" t="s">
        <v>461</v>
      </c>
      <c r="B454" s="15">
        <v>44974</v>
      </c>
      <c r="C454" s="6" t="s">
        <v>571</v>
      </c>
      <c r="D454" s="6" t="s">
        <v>610</v>
      </c>
      <c r="E454" s="6" t="s">
        <v>662</v>
      </c>
      <c r="F454" s="6">
        <v>1</v>
      </c>
      <c r="G454" s="6">
        <v>299</v>
      </c>
      <c r="H454" s="6">
        <v>20</v>
      </c>
      <c r="I454" s="6">
        <v>239.2</v>
      </c>
      <c r="J454" s="6" t="str">
        <f>IF(I454&gt;formulas!$B$5,"yes","no")</f>
        <v>no</v>
      </c>
      <c r="K454" s="6" t="str">
        <f t="shared" si="21"/>
        <v>yes</v>
      </c>
      <c r="L454" s="6" t="str">
        <f>IF(COUNTIF('raw data'!$B$2:$B$501,B454)&gt;1,"Yes","No")</f>
        <v>Yes</v>
      </c>
      <c r="M454" t="str">
        <f t="shared" si="22"/>
        <v>yes</v>
      </c>
      <c r="N454" t="str">
        <f t="shared" si="23"/>
        <v>No</v>
      </c>
      <c r="O454">
        <f>SUMIF('raw data'!B$2:B$501,B454,'raw data'!I$2:I$501)</f>
        <v>1238.2</v>
      </c>
      <c r="P454" t="str">
        <f>IF(OR(I454&lt;Visualization!$B$6,I454&gt;Visualization!$B$7),"Outlier","Normal")</f>
        <v>Outlier</v>
      </c>
    </row>
    <row r="455" spans="1:16" x14ac:dyDescent="0.35">
      <c r="A455" s="6" t="s">
        <v>462</v>
      </c>
      <c r="B455" s="15">
        <v>45015</v>
      </c>
      <c r="C455" s="6" t="s">
        <v>539</v>
      </c>
      <c r="D455" s="6" t="s">
        <v>613</v>
      </c>
      <c r="E455" s="6" t="s">
        <v>674</v>
      </c>
      <c r="F455" s="6">
        <v>1</v>
      </c>
      <c r="G455" s="6">
        <v>499</v>
      </c>
      <c r="H455" s="6">
        <v>20</v>
      </c>
      <c r="I455" s="6">
        <v>399.2</v>
      </c>
      <c r="J455" s="6" t="str">
        <f>IF(I455&gt;formulas!$B$5,"yes","no")</f>
        <v>no</v>
      </c>
      <c r="K455" s="6" t="str">
        <f t="shared" si="21"/>
        <v>yes</v>
      </c>
      <c r="L455" s="6" t="str">
        <f>IF(COUNTIF('raw data'!$B$2:$B$501,B455)&gt;1,"Yes","No")</f>
        <v>Yes</v>
      </c>
      <c r="M455" t="str">
        <f t="shared" si="22"/>
        <v>yes</v>
      </c>
      <c r="N455" t="str">
        <f t="shared" si="23"/>
        <v>No</v>
      </c>
      <c r="O455">
        <f>SUMIF('raw data'!B$2:B$501,B455,'raw data'!I$2:I$501)</f>
        <v>1748.3</v>
      </c>
      <c r="P455" t="str">
        <f>IF(OR(I455&lt;Visualization!$B$6,I455&gt;Visualization!$B$7),"Outlier","Normal")</f>
        <v>Outlier</v>
      </c>
    </row>
    <row r="456" spans="1:16" x14ac:dyDescent="0.35">
      <c r="A456" s="6" t="s">
        <v>463</v>
      </c>
      <c r="B456" s="15">
        <v>45163</v>
      </c>
      <c r="C456" s="6" t="s">
        <v>545</v>
      </c>
      <c r="D456" s="6" t="s">
        <v>611</v>
      </c>
      <c r="E456" s="6" t="s">
        <v>689</v>
      </c>
      <c r="F456" s="6">
        <v>5</v>
      </c>
      <c r="G456" s="6">
        <v>499</v>
      </c>
      <c r="H456" s="6">
        <v>15</v>
      </c>
      <c r="I456" s="6">
        <v>2120.75</v>
      </c>
      <c r="J456" s="6" t="str">
        <f>IF(I456&gt;formulas!$B$5,"yes","no")</f>
        <v>yes</v>
      </c>
      <c r="K456" s="6" t="str">
        <f t="shared" si="21"/>
        <v>yes</v>
      </c>
      <c r="L456" s="6" t="str">
        <f>IF(COUNTIF('raw data'!$B$2:$B$501,B456)&gt;1,"Yes","No")</f>
        <v>Yes</v>
      </c>
      <c r="M456" t="str">
        <f t="shared" si="22"/>
        <v>no</v>
      </c>
      <c r="N456" t="str">
        <f t="shared" si="23"/>
        <v>Yes</v>
      </c>
      <c r="O456">
        <f>SUMIF('raw data'!B$2:B$501,B456,'raw data'!I$2:I$501)</f>
        <v>17212.349999999999</v>
      </c>
      <c r="P456" t="str">
        <f>IF(OR(I456&lt;Visualization!$B$6,I456&gt;Visualization!$B$7),"Outlier","Normal")</f>
        <v>Outlier</v>
      </c>
    </row>
    <row r="457" spans="1:16" x14ac:dyDescent="0.35">
      <c r="A457" s="6" t="s">
        <v>464</v>
      </c>
      <c r="B457" s="15">
        <v>45198</v>
      </c>
      <c r="C457" s="6" t="s">
        <v>522</v>
      </c>
      <c r="D457" s="6" t="s">
        <v>613</v>
      </c>
      <c r="E457" s="6" t="s">
        <v>640</v>
      </c>
      <c r="F457" s="6">
        <v>3</v>
      </c>
      <c r="G457" s="6">
        <v>1499</v>
      </c>
      <c r="H457" s="6">
        <v>20</v>
      </c>
      <c r="I457" s="6">
        <v>3597.6</v>
      </c>
      <c r="J457" s="6" t="str">
        <f>IF(I457&gt;formulas!$B$5,"yes","no")</f>
        <v>yes</v>
      </c>
      <c r="K457" s="6" t="str">
        <f t="shared" si="21"/>
        <v>yes</v>
      </c>
      <c r="L457" s="6" t="str">
        <f>IF(COUNTIF('raw data'!$B$2:$B$501,B457)&gt;1,"Yes","No")</f>
        <v>No</v>
      </c>
      <c r="M457" t="str">
        <f t="shared" si="22"/>
        <v>yes</v>
      </c>
      <c r="N457" t="str">
        <f t="shared" si="23"/>
        <v>No</v>
      </c>
      <c r="O457">
        <f>SUMIF('raw data'!B$2:B$501,B457,'raw data'!I$2:I$501)</f>
        <v>3597.6</v>
      </c>
      <c r="P457" t="str">
        <f>IF(OR(I457&lt;Visualization!$B$6,I457&gt;Visualization!$B$7),"Outlier","Normal")</f>
        <v>Outlier</v>
      </c>
    </row>
    <row r="458" spans="1:16" x14ac:dyDescent="0.35">
      <c r="A458" s="6" t="s">
        <v>465</v>
      </c>
      <c r="B458" s="15">
        <v>45115</v>
      </c>
      <c r="C458" s="6" t="s">
        <v>579</v>
      </c>
      <c r="D458" s="6" t="s">
        <v>612</v>
      </c>
      <c r="E458" s="6" t="s">
        <v>667</v>
      </c>
      <c r="F458" s="6">
        <v>2</v>
      </c>
      <c r="G458" s="6">
        <v>199</v>
      </c>
      <c r="H458" s="6">
        <v>0</v>
      </c>
      <c r="I458" s="6">
        <v>398</v>
      </c>
      <c r="J458" s="6" t="str">
        <f>IF(I458&gt;formulas!$B$5,"yes","no")</f>
        <v>no</v>
      </c>
      <c r="K458" s="6" t="str">
        <f t="shared" si="21"/>
        <v>no</v>
      </c>
      <c r="L458" s="6" t="str">
        <f>IF(COUNTIF('raw data'!$B$2:$B$501,B458)&gt;1,"Yes","No")</f>
        <v>Yes</v>
      </c>
      <c r="M458" t="str">
        <f t="shared" si="22"/>
        <v>no</v>
      </c>
      <c r="N458" t="str">
        <f t="shared" si="23"/>
        <v>No</v>
      </c>
      <c r="O458">
        <f>SUMIF('raw data'!B$2:B$501,B458,'raw data'!I$2:I$501)</f>
        <v>756.2</v>
      </c>
      <c r="P458" t="str">
        <f>IF(OR(I458&lt;Visualization!$B$6,I458&gt;Visualization!$B$7),"Outlier","Normal")</f>
        <v>Outlier</v>
      </c>
    </row>
    <row r="459" spans="1:16" x14ac:dyDescent="0.35">
      <c r="A459" s="6" t="s">
        <v>466</v>
      </c>
      <c r="B459" s="15">
        <v>45118</v>
      </c>
      <c r="C459" s="6" t="s">
        <v>561</v>
      </c>
      <c r="D459" s="6" t="s">
        <v>611</v>
      </c>
      <c r="E459" s="6" t="s">
        <v>664</v>
      </c>
      <c r="F459" s="6">
        <v>0</v>
      </c>
      <c r="G459" s="6">
        <v>999</v>
      </c>
      <c r="H459" s="6">
        <v>20</v>
      </c>
      <c r="I459" s="6">
        <v>0</v>
      </c>
      <c r="J459" s="6" t="str">
        <f>IF(I459&gt;formulas!$B$5,"yes","no")</f>
        <v>no</v>
      </c>
      <c r="K459" s="6" t="str">
        <f t="shared" si="21"/>
        <v>yes</v>
      </c>
      <c r="L459" s="6" t="str">
        <f>IF(COUNTIF('raw data'!$B$2:$B$501,B459)&gt;1,"Yes","No")</f>
        <v>Yes</v>
      </c>
      <c r="M459" t="str">
        <f t="shared" si="22"/>
        <v>yes</v>
      </c>
      <c r="N459" t="str">
        <f t="shared" si="23"/>
        <v>No</v>
      </c>
      <c r="O459">
        <f>SUMIF('raw data'!B$2:B$501,B459,'raw data'!I$2:I$501)</f>
        <v>0</v>
      </c>
      <c r="P459" t="str">
        <f>IF(OR(I459&lt;Visualization!$B$6,I459&gt;Visualization!$B$7),"Outlier","Normal")</f>
        <v>Normal</v>
      </c>
    </row>
    <row r="460" spans="1:16" x14ac:dyDescent="0.35">
      <c r="A460" s="6" t="s">
        <v>467</v>
      </c>
      <c r="B460" s="15">
        <v>44995</v>
      </c>
      <c r="C460" s="6" t="s">
        <v>558</v>
      </c>
      <c r="D460" s="6" t="s">
        <v>613</v>
      </c>
      <c r="E460" s="6" t="s">
        <v>703</v>
      </c>
      <c r="F460" s="6"/>
      <c r="G460" s="6">
        <v>499</v>
      </c>
      <c r="H460" s="6">
        <v>15</v>
      </c>
      <c r="I460" s="6"/>
      <c r="J460" s="6" t="str">
        <f>IF(I460&gt;formulas!$B$5,"yes","no")</f>
        <v>no</v>
      </c>
      <c r="K460" s="6" t="str">
        <f t="shared" si="21"/>
        <v>yes</v>
      </c>
      <c r="L460" s="6" t="str">
        <f>IF(COUNTIF('raw data'!$B$2:$B$501,B460)&gt;1,"Yes","No")</f>
        <v>Yes</v>
      </c>
      <c r="M460" t="str">
        <f t="shared" si="22"/>
        <v>no</v>
      </c>
      <c r="N460" t="str">
        <f t="shared" si="23"/>
        <v>No</v>
      </c>
      <c r="O460">
        <f>SUMIF('raw data'!B$2:B$501,B460,'raw data'!I$2:I$501)</f>
        <v>159.19999999999999</v>
      </c>
      <c r="P460" t="str">
        <f>IF(OR(I460&lt;Visualization!$B$6,I460&gt;Visualization!$B$7),"Outlier","Normal")</f>
        <v>Normal</v>
      </c>
    </row>
    <row r="461" spans="1:16" x14ac:dyDescent="0.35">
      <c r="A461" s="6" t="s">
        <v>468</v>
      </c>
      <c r="B461" s="15">
        <v>45204</v>
      </c>
      <c r="C461" s="6" t="s">
        <v>537</v>
      </c>
      <c r="D461" s="6" t="s">
        <v>612</v>
      </c>
      <c r="E461" s="6" t="s">
        <v>701</v>
      </c>
      <c r="F461" s="6">
        <v>3</v>
      </c>
      <c r="G461" s="6">
        <v>199</v>
      </c>
      <c r="H461" s="6"/>
      <c r="I461" s="6">
        <v>597</v>
      </c>
      <c r="J461" s="6" t="str">
        <f>IF(I461&gt;formulas!$B$5,"yes","no")</f>
        <v>no</v>
      </c>
      <c r="K461" s="6" t="str">
        <f t="shared" si="21"/>
        <v>no</v>
      </c>
      <c r="L461" s="6" t="str">
        <f>IF(COUNTIF('raw data'!$B$2:$B$501,B461)&gt;1,"Yes","No")</f>
        <v>No</v>
      </c>
      <c r="M461" t="str">
        <f t="shared" si="22"/>
        <v>no</v>
      </c>
      <c r="N461" t="str">
        <f t="shared" si="23"/>
        <v>No</v>
      </c>
      <c r="O461">
        <f>SUMIF('raw data'!B$2:B$501,B461,'raw data'!I$2:I$501)</f>
        <v>597</v>
      </c>
      <c r="P461" t="str">
        <f>IF(OR(I461&lt;Visualization!$B$6,I461&gt;Visualization!$B$7),"Outlier","Normal")</f>
        <v>Outlier</v>
      </c>
    </row>
    <row r="462" spans="1:16" x14ac:dyDescent="0.35">
      <c r="A462" s="6" t="s">
        <v>469</v>
      </c>
      <c r="B462" s="15">
        <v>45275</v>
      </c>
      <c r="C462" s="6" t="s">
        <v>534</v>
      </c>
      <c r="D462" s="6" t="s">
        <v>610</v>
      </c>
      <c r="E462" s="6" t="s">
        <v>679</v>
      </c>
      <c r="F462" s="6">
        <v>2</v>
      </c>
      <c r="G462" s="6">
        <v>1499</v>
      </c>
      <c r="H462" s="6">
        <v>10</v>
      </c>
      <c r="I462" s="6">
        <v>2698.2</v>
      </c>
      <c r="J462" s="6" t="str">
        <f>IF(I462&gt;formulas!$B$5,"yes","no")</f>
        <v>yes</v>
      </c>
      <c r="K462" s="6" t="str">
        <f t="shared" si="21"/>
        <v>yes</v>
      </c>
      <c r="L462" s="6" t="str">
        <f>IF(COUNTIF('raw data'!$B$2:$B$501,B462)&gt;1,"Yes","No")</f>
        <v>Yes</v>
      </c>
      <c r="M462" t="str">
        <f t="shared" si="22"/>
        <v>no</v>
      </c>
      <c r="N462" t="str">
        <f t="shared" si="23"/>
        <v>Yes</v>
      </c>
      <c r="O462">
        <f>SUMIF('raw data'!B$2:B$501,B462,'raw data'!I$2:I$501)</f>
        <v>7282.8</v>
      </c>
      <c r="P462" t="str">
        <f>IF(OR(I462&lt;Visualization!$B$6,I462&gt;Visualization!$B$7),"Outlier","Normal")</f>
        <v>Outlier</v>
      </c>
    </row>
    <row r="463" spans="1:16" x14ac:dyDescent="0.35">
      <c r="A463" s="6" t="s">
        <v>470</v>
      </c>
      <c r="B463" s="15">
        <v>45173</v>
      </c>
      <c r="C463" s="6" t="s">
        <v>524</v>
      </c>
      <c r="D463" s="6" t="s">
        <v>612</v>
      </c>
      <c r="E463" s="6" t="s">
        <v>647</v>
      </c>
      <c r="F463" s="6">
        <v>4</v>
      </c>
      <c r="G463" s="6"/>
      <c r="H463" s="6">
        <v>10</v>
      </c>
      <c r="I463" s="6"/>
      <c r="J463" s="6" t="str">
        <f>IF(I463&gt;formulas!$B$5,"yes","no")</f>
        <v>no</v>
      </c>
      <c r="K463" s="6" t="str">
        <f t="shared" si="21"/>
        <v>yes</v>
      </c>
      <c r="L463" s="6" t="str">
        <f>IF(COUNTIF('raw data'!$B$2:$B$501,B463)&gt;1,"Yes","No")</f>
        <v>Yes</v>
      </c>
      <c r="M463" t="str">
        <f t="shared" si="22"/>
        <v>no</v>
      </c>
      <c r="N463" t="str">
        <f t="shared" si="23"/>
        <v>No</v>
      </c>
      <c r="O463">
        <f>SUMIF('raw data'!B$2:B$501,B463,'raw data'!I$2:I$501)</f>
        <v>3071.55</v>
      </c>
      <c r="P463" t="str">
        <f>IF(OR(I463&lt;Visualization!$B$6,I463&gt;Visualization!$B$7),"Outlier","Normal")</f>
        <v>Normal</v>
      </c>
    </row>
    <row r="464" spans="1:16" x14ac:dyDescent="0.35">
      <c r="A464" s="6" t="s">
        <v>471</v>
      </c>
      <c r="B464" s="15">
        <v>45002</v>
      </c>
      <c r="C464" s="6" t="s">
        <v>568</v>
      </c>
      <c r="D464" s="6" t="s">
        <v>609</v>
      </c>
      <c r="E464" s="6" t="s">
        <v>700</v>
      </c>
      <c r="F464" s="6">
        <v>1</v>
      </c>
      <c r="G464" s="6">
        <v>999</v>
      </c>
      <c r="H464" s="6">
        <v>20</v>
      </c>
      <c r="I464" s="6">
        <v>799.2</v>
      </c>
      <c r="J464" s="6" t="str">
        <f>IF(I464&gt;formulas!$B$5,"yes","no")</f>
        <v>no</v>
      </c>
      <c r="K464" s="6" t="str">
        <f t="shared" si="21"/>
        <v>yes</v>
      </c>
      <c r="L464" s="6" t="str">
        <f>IF(COUNTIF('raw data'!$B$2:$B$501,B464)&gt;1,"Yes","No")</f>
        <v>No</v>
      </c>
      <c r="M464" t="str">
        <f t="shared" si="22"/>
        <v>yes</v>
      </c>
      <c r="N464" t="str">
        <f t="shared" si="23"/>
        <v>No</v>
      </c>
      <c r="O464">
        <f>SUMIF('raw data'!B$2:B$501,B464,'raw data'!I$2:I$501)</f>
        <v>799.2</v>
      </c>
      <c r="P464" t="str">
        <f>IF(OR(I464&lt;Visualization!$B$6,I464&gt;Visualization!$B$7),"Outlier","Normal")</f>
        <v>Outlier</v>
      </c>
    </row>
    <row r="465" spans="1:16" x14ac:dyDescent="0.35">
      <c r="A465" s="6" t="s">
        <v>472</v>
      </c>
      <c r="B465" s="15">
        <v>45080</v>
      </c>
      <c r="C465" s="6" t="s">
        <v>576</v>
      </c>
      <c r="D465" s="6" t="s">
        <v>612</v>
      </c>
      <c r="E465" s="6" t="s">
        <v>707</v>
      </c>
      <c r="F465" s="6">
        <v>2</v>
      </c>
      <c r="G465" s="6">
        <v>299</v>
      </c>
      <c r="H465" s="6">
        <v>5</v>
      </c>
      <c r="I465" s="6">
        <v>568.1</v>
      </c>
      <c r="J465" s="6" t="str">
        <f>IF(I465&gt;formulas!$B$5,"yes","no")</f>
        <v>no</v>
      </c>
      <c r="K465" s="6" t="str">
        <f t="shared" si="21"/>
        <v>yes</v>
      </c>
      <c r="L465" s="6" t="str">
        <f>IF(COUNTIF('raw data'!$B$2:$B$501,B465)&gt;1,"Yes","No")</f>
        <v>No</v>
      </c>
      <c r="M465" t="str">
        <f t="shared" si="22"/>
        <v>no</v>
      </c>
      <c r="N465" t="str">
        <f t="shared" si="23"/>
        <v>No</v>
      </c>
      <c r="O465">
        <f>SUMIF('raw data'!B$2:B$501,B465,'raw data'!I$2:I$501)</f>
        <v>568.1</v>
      </c>
      <c r="P465" t="str">
        <f>IF(OR(I465&lt;Visualization!$B$6,I465&gt;Visualization!$B$7),"Outlier","Normal")</f>
        <v>Outlier</v>
      </c>
    </row>
    <row r="466" spans="1:16" x14ac:dyDescent="0.35">
      <c r="A466" s="6" t="s">
        <v>473</v>
      </c>
      <c r="B466" s="15">
        <v>45070</v>
      </c>
      <c r="C466" s="6" t="s">
        <v>600</v>
      </c>
      <c r="D466" s="6" t="s">
        <v>612</v>
      </c>
      <c r="E466" s="6" t="s">
        <v>694</v>
      </c>
      <c r="F466" s="6">
        <v>3</v>
      </c>
      <c r="G466" s="6">
        <v>499</v>
      </c>
      <c r="H466" s="6">
        <v>10</v>
      </c>
      <c r="I466" s="6">
        <v>1347.3</v>
      </c>
      <c r="J466" s="6" t="str">
        <f>IF(I466&gt;formulas!$B$5,"yes","no")</f>
        <v>no</v>
      </c>
      <c r="K466" s="6" t="str">
        <f t="shared" si="21"/>
        <v>yes</v>
      </c>
      <c r="L466" s="6" t="str">
        <f>IF(COUNTIF('raw data'!$B$2:$B$501,B466)&gt;1,"Yes","No")</f>
        <v>Yes</v>
      </c>
      <c r="M466" t="str">
        <f t="shared" si="22"/>
        <v>no</v>
      </c>
      <c r="N466" t="str">
        <f t="shared" si="23"/>
        <v>No</v>
      </c>
      <c r="O466">
        <f>SUMIF('raw data'!B$2:B$501,B466,'raw data'!I$2:I$501)</f>
        <v>3092.35</v>
      </c>
      <c r="P466" t="str">
        <f>IF(OR(I466&lt;Visualization!$B$6,I466&gt;Visualization!$B$7),"Outlier","Normal")</f>
        <v>Outlier</v>
      </c>
    </row>
    <row r="467" spans="1:16" x14ac:dyDescent="0.35">
      <c r="A467" s="6" t="s">
        <v>474</v>
      </c>
      <c r="B467" s="15">
        <v>45012</v>
      </c>
      <c r="C467" s="6" t="s">
        <v>595</v>
      </c>
      <c r="D467" s="6" t="s">
        <v>609</v>
      </c>
      <c r="E467" s="6" t="s">
        <v>644</v>
      </c>
      <c r="F467" s="6">
        <v>1</v>
      </c>
      <c r="G467" s="6">
        <v>199</v>
      </c>
      <c r="H467" s="6"/>
      <c r="I467" s="6">
        <v>199</v>
      </c>
      <c r="J467" s="6" t="str">
        <f>IF(I467&gt;formulas!$B$5,"yes","no")</f>
        <v>no</v>
      </c>
      <c r="K467" s="6" t="str">
        <f t="shared" si="21"/>
        <v>no</v>
      </c>
      <c r="L467" s="6" t="str">
        <f>IF(COUNTIF('raw data'!$B$2:$B$501,B467)&gt;1,"Yes","No")</f>
        <v>Yes</v>
      </c>
      <c r="M467" t="str">
        <f t="shared" si="22"/>
        <v>no</v>
      </c>
      <c r="N467" t="str">
        <f t="shared" si="23"/>
        <v>No</v>
      </c>
      <c r="O467">
        <f>SUMIF('raw data'!B$2:B$501,B467,'raw data'!I$2:I$501)</f>
        <v>597</v>
      </c>
      <c r="P467" t="str">
        <f>IF(OR(I467&lt;Visualization!$B$6,I467&gt;Visualization!$B$7),"Outlier","Normal")</f>
        <v>Outlier</v>
      </c>
    </row>
    <row r="468" spans="1:16" x14ac:dyDescent="0.35">
      <c r="A468" s="6" t="s">
        <v>475</v>
      </c>
      <c r="B468" s="15">
        <v>45111</v>
      </c>
      <c r="C468" s="6" t="s">
        <v>567</v>
      </c>
      <c r="D468" s="6" t="s">
        <v>613</v>
      </c>
      <c r="E468" s="6" t="s">
        <v>662</v>
      </c>
      <c r="F468" s="6"/>
      <c r="G468" s="6"/>
      <c r="H468" s="6">
        <v>20</v>
      </c>
      <c r="I468" s="6"/>
      <c r="J468" s="6" t="str">
        <f>IF(I468&gt;formulas!$B$5,"yes","no")</f>
        <v>no</v>
      </c>
      <c r="K468" s="6" t="str">
        <f t="shared" si="21"/>
        <v>yes</v>
      </c>
      <c r="L468" s="6" t="str">
        <f>IF(COUNTIF('raw data'!$B$2:$B$501,B468)&gt;1,"Yes","No")</f>
        <v>No</v>
      </c>
      <c r="M468" t="str">
        <f t="shared" si="22"/>
        <v>yes</v>
      </c>
      <c r="N468" t="str">
        <f t="shared" si="23"/>
        <v>No</v>
      </c>
      <c r="O468">
        <f>SUMIF('raw data'!B$2:B$501,B468,'raw data'!I$2:I$501)</f>
        <v>0</v>
      </c>
      <c r="P468" t="str">
        <f>IF(OR(I468&lt;Visualization!$B$6,I468&gt;Visualization!$B$7),"Outlier","Normal")</f>
        <v>Normal</v>
      </c>
    </row>
    <row r="469" spans="1:16" x14ac:dyDescent="0.35">
      <c r="A469" s="6" t="s">
        <v>476</v>
      </c>
      <c r="B469" s="15">
        <v>45211</v>
      </c>
      <c r="C469" s="6" t="s">
        <v>536</v>
      </c>
      <c r="D469" s="6" t="s">
        <v>613</v>
      </c>
      <c r="E469" s="6" t="s">
        <v>708</v>
      </c>
      <c r="F469" s="6">
        <v>3</v>
      </c>
      <c r="G469" s="6">
        <v>299</v>
      </c>
      <c r="H469" s="6">
        <v>15</v>
      </c>
      <c r="I469" s="6">
        <v>762.44999999999993</v>
      </c>
      <c r="J469" s="6" t="str">
        <f>IF(I469&gt;formulas!$B$5,"yes","no")</f>
        <v>no</v>
      </c>
      <c r="K469" s="6" t="str">
        <f t="shared" si="21"/>
        <v>yes</v>
      </c>
      <c r="L469" s="6" t="str">
        <f>IF(COUNTIF('raw data'!$B$2:$B$501,B469)&gt;1,"Yes","No")</f>
        <v>No</v>
      </c>
      <c r="M469" t="str">
        <f t="shared" si="22"/>
        <v>no</v>
      </c>
      <c r="N469" t="str">
        <f t="shared" si="23"/>
        <v>No</v>
      </c>
      <c r="O469">
        <f>SUMIF('raw data'!B$2:B$501,B469,'raw data'!I$2:I$501)</f>
        <v>762.44999999999993</v>
      </c>
      <c r="P469" t="str">
        <f>IF(OR(I469&lt;Visualization!$B$6,I469&gt;Visualization!$B$7),"Outlier","Normal")</f>
        <v>Outlier</v>
      </c>
    </row>
    <row r="470" spans="1:16" x14ac:dyDescent="0.35">
      <c r="A470" s="6" t="s">
        <v>477</v>
      </c>
      <c r="B470" s="15">
        <v>45146</v>
      </c>
      <c r="C470" s="6" t="s">
        <v>547</v>
      </c>
      <c r="D470" s="6" t="s">
        <v>612</v>
      </c>
      <c r="E470" s="6" t="s">
        <v>657</v>
      </c>
      <c r="F470" s="6">
        <v>3</v>
      </c>
      <c r="G470" s="6">
        <v>1999</v>
      </c>
      <c r="H470" s="6"/>
      <c r="I470" s="6">
        <v>5997</v>
      </c>
      <c r="J470" s="6" t="str">
        <f>IF(I470&gt;formulas!$B$5,"yes","no")</f>
        <v>yes</v>
      </c>
      <c r="K470" s="6" t="str">
        <f t="shared" si="21"/>
        <v>no</v>
      </c>
      <c r="L470" s="6" t="str">
        <f>IF(COUNTIF('raw data'!$B$2:$B$501,B470)&gt;1,"Yes","No")</f>
        <v>Yes</v>
      </c>
      <c r="M470" t="str">
        <f t="shared" si="22"/>
        <v>no</v>
      </c>
      <c r="N470" t="str">
        <f t="shared" si="23"/>
        <v>Yes</v>
      </c>
      <c r="O470">
        <f>SUMIF('raw data'!B$2:B$501,B470,'raw data'!I$2:I$501)</f>
        <v>10044.299999999999</v>
      </c>
      <c r="P470" t="str">
        <f>IF(OR(I470&lt;Visualization!$B$6,I470&gt;Visualization!$B$7),"Outlier","Normal")</f>
        <v>Outlier</v>
      </c>
    </row>
    <row r="471" spans="1:16" x14ac:dyDescent="0.35">
      <c r="A471" s="6" t="s">
        <v>478</v>
      </c>
      <c r="B471" s="15">
        <v>44995</v>
      </c>
      <c r="C471" s="6" t="s">
        <v>602</v>
      </c>
      <c r="D471" s="6" t="s">
        <v>609</v>
      </c>
      <c r="E471" s="6" t="s">
        <v>688</v>
      </c>
      <c r="F471" s="6">
        <v>1</v>
      </c>
      <c r="G471" s="6">
        <v>199</v>
      </c>
      <c r="H471" s="6">
        <v>20</v>
      </c>
      <c r="I471" s="6">
        <v>159.19999999999999</v>
      </c>
      <c r="J471" s="6" t="str">
        <f>IF(I471&gt;formulas!$B$5,"yes","no")</f>
        <v>no</v>
      </c>
      <c r="K471" s="6" t="str">
        <f t="shared" si="21"/>
        <v>yes</v>
      </c>
      <c r="L471" s="6" t="str">
        <f>IF(COUNTIF('raw data'!$B$2:$B$501,B471)&gt;1,"Yes","No")</f>
        <v>Yes</v>
      </c>
      <c r="M471" t="str">
        <f t="shared" si="22"/>
        <v>yes</v>
      </c>
      <c r="N471" t="str">
        <f t="shared" si="23"/>
        <v>No</v>
      </c>
      <c r="O471">
        <f>SUMIF('raw data'!B$2:B$501,B471,'raw data'!I$2:I$501)</f>
        <v>159.19999999999999</v>
      </c>
      <c r="P471" t="str">
        <f>IF(OR(I471&lt;Visualization!$B$6,I471&gt;Visualization!$B$7),"Outlier","Normal")</f>
        <v>Outlier</v>
      </c>
    </row>
    <row r="472" spans="1:16" x14ac:dyDescent="0.35">
      <c r="A472" s="6" t="s">
        <v>479</v>
      </c>
      <c r="B472" s="15">
        <v>44973</v>
      </c>
      <c r="C472" s="6" t="s">
        <v>559</v>
      </c>
      <c r="D472" s="6" t="s">
        <v>609</v>
      </c>
      <c r="E472" s="6" t="s">
        <v>687</v>
      </c>
      <c r="F472" s="6">
        <v>1</v>
      </c>
      <c r="G472" s="6">
        <v>199</v>
      </c>
      <c r="H472" s="6"/>
      <c r="I472" s="6">
        <v>199</v>
      </c>
      <c r="J472" s="6" t="str">
        <f>IF(I472&gt;formulas!$B$5,"yes","no")</f>
        <v>no</v>
      </c>
      <c r="K472" s="6" t="str">
        <f t="shared" si="21"/>
        <v>no</v>
      </c>
      <c r="L472" s="6" t="str">
        <f>IF(COUNTIF('raw data'!$B$2:$B$501,B472)&gt;1,"Yes","No")</f>
        <v>Yes</v>
      </c>
      <c r="M472" t="str">
        <f t="shared" si="22"/>
        <v>no</v>
      </c>
      <c r="N472" t="str">
        <f t="shared" si="23"/>
        <v>No</v>
      </c>
      <c r="O472">
        <f>SUMIF('raw data'!B$2:B$501,B472,'raw data'!I$2:I$501)</f>
        <v>199</v>
      </c>
      <c r="P472" t="str">
        <f>IF(OR(I472&lt;Visualization!$B$6,I472&gt;Visualization!$B$7),"Outlier","Normal")</f>
        <v>Outlier</v>
      </c>
    </row>
    <row r="473" spans="1:16" x14ac:dyDescent="0.35">
      <c r="A473" s="6" t="s">
        <v>480</v>
      </c>
      <c r="B473" s="15">
        <v>45020</v>
      </c>
      <c r="C473" s="6" t="s">
        <v>594</v>
      </c>
      <c r="D473" s="6" t="s">
        <v>610</v>
      </c>
      <c r="E473" s="6" t="s">
        <v>615</v>
      </c>
      <c r="F473" s="6">
        <v>2</v>
      </c>
      <c r="G473" s="6">
        <v>299</v>
      </c>
      <c r="H473" s="6">
        <v>10</v>
      </c>
      <c r="I473" s="6">
        <v>538.20000000000005</v>
      </c>
      <c r="J473" s="6" t="str">
        <f>IF(I473&gt;formulas!$B$5,"yes","no")</f>
        <v>no</v>
      </c>
      <c r="K473" s="6" t="str">
        <f t="shared" si="21"/>
        <v>yes</v>
      </c>
      <c r="L473" s="6" t="str">
        <f>IF(COUNTIF('raw data'!$B$2:$B$501,B473)&gt;1,"Yes","No")</f>
        <v>No</v>
      </c>
      <c r="M473" t="str">
        <f t="shared" si="22"/>
        <v>no</v>
      </c>
      <c r="N473" t="str">
        <f t="shared" si="23"/>
        <v>No</v>
      </c>
      <c r="O473">
        <f>SUMIF('raw data'!B$2:B$501,B473,'raw data'!I$2:I$501)</f>
        <v>538.20000000000005</v>
      </c>
      <c r="P473" t="str">
        <f>IF(OR(I473&lt;Visualization!$B$6,I473&gt;Visualization!$B$7),"Outlier","Normal")</f>
        <v>Outlier</v>
      </c>
    </row>
    <row r="474" spans="1:16" x14ac:dyDescent="0.35">
      <c r="A474" s="6" t="s">
        <v>481</v>
      </c>
      <c r="B474" s="15">
        <v>45164</v>
      </c>
      <c r="C474" s="6" t="s">
        <v>559</v>
      </c>
      <c r="D474" s="6" t="s">
        <v>613</v>
      </c>
      <c r="E474" s="6" t="s">
        <v>670</v>
      </c>
      <c r="F474" s="6">
        <v>4</v>
      </c>
      <c r="G474" s="6"/>
      <c r="H474" s="6">
        <v>15</v>
      </c>
      <c r="I474" s="6"/>
      <c r="J474" s="6" t="str">
        <f>IF(I474&gt;formulas!$B$5,"yes","no")</f>
        <v>no</v>
      </c>
      <c r="K474" s="6" t="str">
        <f t="shared" si="21"/>
        <v>yes</v>
      </c>
      <c r="L474" s="6" t="str">
        <f>IF(COUNTIF('raw data'!$B$2:$B$501,B474)&gt;1,"Yes","No")</f>
        <v>Yes</v>
      </c>
      <c r="M474" t="str">
        <f t="shared" si="22"/>
        <v>no</v>
      </c>
      <c r="N474" t="str">
        <f t="shared" si="23"/>
        <v>No</v>
      </c>
      <c r="O474">
        <f>SUMIF('raw data'!B$2:B$501,B474,'raw data'!I$2:I$501)</f>
        <v>0</v>
      </c>
      <c r="P474" t="str">
        <f>IF(OR(I474&lt;Visualization!$B$6,I474&gt;Visualization!$B$7),"Outlier","Normal")</f>
        <v>Normal</v>
      </c>
    </row>
    <row r="475" spans="1:16" x14ac:dyDescent="0.35">
      <c r="A475" s="6" t="s">
        <v>482</v>
      </c>
      <c r="B475" s="15">
        <v>45130</v>
      </c>
      <c r="C475" s="6" t="s">
        <v>585</v>
      </c>
      <c r="D475" s="6" t="s">
        <v>611</v>
      </c>
      <c r="E475" s="6" t="s">
        <v>665</v>
      </c>
      <c r="F475" s="6">
        <v>1</v>
      </c>
      <c r="G475" s="6">
        <v>1999</v>
      </c>
      <c r="H475" s="6">
        <v>20</v>
      </c>
      <c r="I475" s="6">
        <v>1599.2</v>
      </c>
      <c r="J475" s="6" t="str">
        <f>IF(I475&gt;formulas!$B$5,"yes","no")</f>
        <v>yes</v>
      </c>
      <c r="K475" s="6" t="str">
        <f t="shared" si="21"/>
        <v>yes</v>
      </c>
      <c r="L475" s="6" t="str">
        <f>IF(COUNTIF('raw data'!$B$2:$B$501,B475)&gt;1,"Yes","No")</f>
        <v>No</v>
      </c>
      <c r="M475" t="str">
        <f t="shared" si="22"/>
        <v>yes</v>
      </c>
      <c r="N475" t="str">
        <f t="shared" si="23"/>
        <v>No</v>
      </c>
      <c r="O475">
        <f>SUMIF('raw data'!B$2:B$501,B475,'raw data'!I$2:I$501)</f>
        <v>1599.2</v>
      </c>
      <c r="P475" t="str">
        <f>IF(OR(I475&lt;Visualization!$B$6,I475&gt;Visualization!$B$7),"Outlier","Normal")</f>
        <v>Outlier</v>
      </c>
    </row>
    <row r="476" spans="1:16" x14ac:dyDescent="0.35">
      <c r="A476" s="6" t="s">
        <v>483</v>
      </c>
      <c r="B476" s="15">
        <v>45144</v>
      </c>
      <c r="C476" s="6" t="s">
        <v>518</v>
      </c>
      <c r="D476" s="6" t="s">
        <v>613</v>
      </c>
      <c r="E476" s="6" t="s">
        <v>639</v>
      </c>
      <c r="F476" s="6">
        <v>2</v>
      </c>
      <c r="G476" s="6">
        <v>1499</v>
      </c>
      <c r="H476" s="6">
        <v>0</v>
      </c>
      <c r="I476" s="6">
        <v>2998</v>
      </c>
      <c r="J476" s="6" t="str">
        <f>IF(I476&gt;formulas!$B$5,"yes","no")</f>
        <v>yes</v>
      </c>
      <c r="K476" s="6" t="str">
        <f t="shared" si="21"/>
        <v>no</v>
      </c>
      <c r="L476" s="6" t="str">
        <f>IF(COUNTIF('raw data'!$B$2:$B$501,B476)&gt;1,"Yes","No")</f>
        <v>Yes</v>
      </c>
      <c r="M476" t="str">
        <f t="shared" si="22"/>
        <v>no</v>
      </c>
      <c r="N476" t="str">
        <f t="shared" si="23"/>
        <v>Yes</v>
      </c>
      <c r="O476">
        <f>SUMIF('raw data'!B$2:B$501,B476,'raw data'!I$2:I$501)</f>
        <v>6171.7</v>
      </c>
      <c r="P476" t="str">
        <f>IF(OR(I476&lt;Visualization!$B$6,I476&gt;Visualization!$B$7),"Outlier","Normal")</f>
        <v>Outlier</v>
      </c>
    </row>
    <row r="477" spans="1:16" x14ac:dyDescent="0.35">
      <c r="A477" s="6" t="s">
        <v>484</v>
      </c>
      <c r="B477" s="15">
        <v>45267</v>
      </c>
      <c r="C477" s="6" t="s">
        <v>573</v>
      </c>
      <c r="D477" s="6" t="s">
        <v>613</v>
      </c>
      <c r="E477" s="6" t="s">
        <v>625</v>
      </c>
      <c r="F477" s="6">
        <v>3</v>
      </c>
      <c r="G477" s="6"/>
      <c r="H477" s="6">
        <v>15</v>
      </c>
      <c r="I477" s="6"/>
      <c r="J477" s="6" t="str">
        <f>IF(I477&gt;formulas!$B$5,"yes","no")</f>
        <v>no</v>
      </c>
      <c r="K477" s="6" t="str">
        <f t="shared" si="21"/>
        <v>yes</v>
      </c>
      <c r="L477" s="6" t="str">
        <f>IF(COUNTIF('raw data'!$B$2:$B$501,B477)&gt;1,"Yes","No")</f>
        <v>No</v>
      </c>
      <c r="M477" t="str">
        <f t="shared" si="22"/>
        <v>no</v>
      </c>
      <c r="N477" t="str">
        <f t="shared" si="23"/>
        <v>No</v>
      </c>
      <c r="O477">
        <f>SUMIF('raw data'!B$2:B$501,B477,'raw data'!I$2:I$501)</f>
        <v>0</v>
      </c>
      <c r="P477" t="str">
        <f>IF(OR(I477&lt;Visualization!$B$6,I477&gt;Visualization!$B$7),"Outlier","Normal")</f>
        <v>Normal</v>
      </c>
    </row>
    <row r="478" spans="1:16" x14ac:dyDescent="0.35">
      <c r="A478" s="6" t="s">
        <v>485</v>
      </c>
      <c r="B478" s="15">
        <v>44965</v>
      </c>
      <c r="C478" s="6" t="s">
        <v>607</v>
      </c>
      <c r="D478" s="6" t="s">
        <v>610</v>
      </c>
      <c r="E478" s="6" t="s">
        <v>668</v>
      </c>
      <c r="F478" s="6">
        <v>1</v>
      </c>
      <c r="G478" s="6">
        <v>999</v>
      </c>
      <c r="H478" s="6">
        <v>0</v>
      </c>
      <c r="I478" s="6">
        <v>999</v>
      </c>
      <c r="J478" s="6" t="str">
        <f>IF(I478&gt;formulas!$B$5,"yes","no")</f>
        <v>no</v>
      </c>
      <c r="K478" s="6" t="str">
        <f t="shared" si="21"/>
        <v>no</v>
      </c>
      <c r="L478" s="6" t="str">
        <f>IF(COUNTIF('raw data'!$B$2:$B$501,B478)&gt;1,"Yes","No")</f>
        <v>Yes</v>
      </c>
      <c r="M478" t="str">
        <f t="shared" si="22"/>
        <v>no</v>
      </c>
      <c r="N478" t="str">
        <f t="shared" si="23"/>
        <v>No</v>
      </c>
      <c r="O478">
        <f>SUMIF('raw data'!B$2:B$501,B478,'raw data'!I$2:I$501)</f>
        <v>1737.2</v>
      </c>
      <c r="P478" t="str">
        <f>IF(OR(I478&lt;Visualization!$B$6,I478&gt;Visualization!$B$7),"Outlier","Normal")</f>
        <v>Outlier</v>
      </c>
    </row>
    <row r="479" spans="1:16" x14ac:dyDescent="0.35">
      <c r="A479" s="6" t="s">
        <v>486</v>
      </c>
      <c r="B479" s="15">
        <v>45026</v>
      </c>
      <c r="C479" s="6" t="s">
        <v>544</v>
      </c>
      <c r="D479" s="6" t="s">
        <v>611</v>
      </c>
      <c r="E479" s="6" t="s">
        <v>657</v>
      </c>
      <c r="F479" s="6">
        <v>3</v>
      </c>
      <c r="G479" s="6">
        <v>499</v>
      </c>
      <c r="H479" s="6"/>
      <c r="I479" s="6">
        <v>1497</v>
      </c>
      <c r="J479" s="6" t="str">
        <f>IF(I479&gt;formulas!$B$5,"yes","no")</f>
        <v>yes</v>
      </c>
      <c r="K479" s="6" t="str">
        <f t="shared" si="21"/>
        <v>no</v>
      </c>
      <c r="L479" s="6" t="str">
        <f>IF(COUNTIF('raw data'!$B$2:$B$501,B479)&gt;1,"Yes","No")</f>
        <v>Yes</v>
      </c>
      <c r="M479" t="str">
        <f t="shared" si="22"/>
        <v>no</v>
      </c>
      <c r="N479" t="str">
        <f t="shared" si="23"/>
        <v>Yes</v>
      </c>
      <c r="O479">
        <f>SUMIF('raw data'!B$2:B$501,B479,'raw data'!I$2:I$501)</f>
        <v>2024.3500000000001</v>
      </c>
      <c r="P479" t="str">
        <f>IF(OR(I479&lt;Visualization!$B$6,I479&gt;Visualization!$B$7),"Outlier","Normal")</f>
        <v>Outlier</v>
      </c>
    </row>
    <row r="480" spans="1:16" x14ac:dyDescent="0.35">
      <c r="A480" s="6" t="s">
        <v>487</v>
      </c>
      <c r="B480" s="15">
        <v>45215</v>
      </c>
      <c r="C480" s="6" t="s">
        <v>585</v>
      </c>
      <c r="D480" s="6" t="s">
        <v>610</v>
      </c>
      <c r="E480" s="6" t="s">
        <v>654</v>
      </c>
      <c r="F480" s="6">
        <v>1</v>
      </c>
      <c r="G480" s="6">
        <v>299</v>
      </c>
      <c r="H480" s="6">
        <v>5</v>
      </c>
      <c r="I480" s="6">
        <v>284.05</v>
      </c>
      <c r="J480" s="6" t="str">
        <f>IF(I480&gt;formulas!$B$5,"yes","no")</f>
        <v>no</v>
      </c>
      <c r="K480" s="6" t="str">
        <f t="shared" si="21"/>
        <v>yes</v>
      </c>
      <c r="L480" s="6" t="str">
        <f>IF(COUNTIF('raw data'!$B$2:$B$501,B480)&gt;1,"Yes","No")</f>
        <v>Yes</v>
      </c>
      <c r="M480" t="str">
        <f t="shared" si="22"/>
        <v>no</v>
      </c>
      <c r="N480" t="str">
        <f t="shared" si="23"/>
        <v>No</v>
      </c>
      <c r="O480">
        <f>SUMIF('raw data'!B$2:B$501,B480,'raw data'!I$2:I$501)</f>
        <v>2878.8500000000004</v>
      </c>
      <c r="P480" t="str">
        <f>IF(OR(I480&lt;Visualization!$B$6,I480&gt;Visualization!$B$7),"Outlier","Normal")</f>
        <v>Outlier</v>
      </c>
    </row>
    <row r="481" spans="1:16" x14ac:dyDescent="0.35">
      <c r="A481" s="6" t="s">
        <v>488</v>
      </c>
      <c r="B481" s="15">
        <v>45180</v>
      </c>
      <c r="C481" s="6" t="s">
        <v>585</v>
      </c>
      <c r="D481" s="6" t="s">
        <v>611</v>
      </c>
      <c r="E481" s="6" t="s">
        <v>702</v>
      </c>
      <c r="F481" s="6"/>
      <c r="G481" s="6">
        <v>1499</v>
      </c>
      <c r="H481" s="6">
        <v>15</v>
      </c>
      <c r="I481" s="6"/>
      <c r="J481" s="6" t="str">
        <f>IF(I481&gt;formulas!$B$5,"yes","no")</f>
        <v>no</v>
      </c>
      <c r="K481" s="6" t="str">
        <f t="shared" si="21"/>
        <v>yes</v>
      </c>
      <c r="L481" s="6" t="str">
        <f>IF(COUNTIF('raw data'!$B$2:$B$501,B481)&gt;1,"Yes","No")</f>
        <v>Yes</v>
      </c>
      <c r="M481" t="str">
        <f t="shared" si="22"/>
        <v>no</v>
      </c>
      <c r="N481" t="str">
        <f t="shared" si="23"/>
        <v>No</v>
      </c>
      <c r="O481">
        <f>SUMIF('raw data'!B$2:B$501,B481,'raw data'!I$2:I$501)</f>
        <v>2698.2</v>
      </c>
      <c r="P481" t="str">
        <f>IF(OR(I481&lt;Visualization!$B$6,I481&gt;Visualization!$B$7),"Outlier","Normal")</f>
        <v>Normal</v>
      </c>
    </row>
    <row r="482" spans="1:16" x14ac:dyDescent="0.35">
      <c r="A482" s="6" t="s">
        <v>489</v>
      </c>
      <c r="B482" s="15">
        <v>45148</v>
      </c>
      <c r="C482" s="6" t="s">
        <v>584</v>
      </c>
      <c r="D482" s="6" t="s">
        <v>612</v>
      </c>
      <c r="E482" s="6" t="s">
        <v>687</v>
      </c>
      <c r="F482" s="6">
        <v>2</v>
      </c>
      <c r="G482" s="6">
        <v>1999</v>
      </c>
      <c r="H482" s="6"/>
      <c r="I482" s="6">
        <v>3998</v>
      </c>
      <c r="J482" s="6" t="str">
        <f>IF(I482&gt;formulas!$B$5,"yes","no")</f>
        <v>yes</v>
      </c>
      <c r="K482" s="6" t="str">
        <f t="shared" si="21"/>
        <v>no</v>
      </c>
      <c r="L482" s="6" t="str">
        <f>IF(COUNTIF('raw data'!$B$2:$B$501,B482)&gt;1,"Yes","No")</f>
        <v>Yes</v>
      </c>
      <c r="M482" t="str">
        <f t="shared" si="22"/>
        <v>no</v>
      </c>
      <c r="N482" t="str">
        <f t="shared" si="23"/>
        <v>Yes</v>
      </c>
      <c r="O482">
        <f>SUMIF('raw data'!B$2:B$501,B482,'raw data'!I$2:I$501)</f>
        <v>6546.3</v>
      </c>
      <c r="P482" t="str">
        <f>IF(OR(I482&lt;Visualization!$B$6,I482&gt;Visualization!$B$7),"Outlier","Normal")</f>
        <v>Outlier</v>
      </c>
    </row>
    <row r="483" spans="1:16" x14ac:dyDescent="0.35">
      <c r="A483" s="6" t="s">
        <v>490</v>
      </c>
      <c r="B483" s="15">
        <v>45283</v>
      </c>
      <c r="C483" s="6" t="s">
        <v>603</v>
      </c>
      <c r="D483" s="6" t="s">
        <v>611</v>
      </c>
      <c r="E483" s="6" t="s">
        <v>618</v>
      </c>
      <c r="F483" s="6">
        <v>1</v>
      </c>
      <c r="G483" s="6">
        <v>299</v>
      </c>
      <c r="H483" s="6">
        <v>0</v>
      </c>
      <c r="I483" s="6">
        <v>299</v>
      </c>
      <c r="J483" s="6" t="str">
        <f>IF(I483&gt;formulas!$B$5,"yes","no")</f>
        <v>no</v>
      </c>
      <c r="K483" s="6" t="str">
        <f t="shared" si="21"/>
        <v>no</v>
      </c>
      <c r="L483" s="6" t="str">
        <f>IF(COUNTIF('raw data'!$B$2:$B$501,B483)&gt;1,"Yes","No")</f>
        <v>No</v>
      </c>
      <c r="M483" t="str">
        <f t="shared" si="22"/>
        <v>no</v>
      </c>
      <c r="N483" t="str">
        <f t="shared" si="23"/>
        <v>No</v>
      </c>
      <c r="O483">
        <f>SUMIF('raw data'!B$2:B$501,B483,'raw data'!I$2:I$501)</f>
        <v>299</v>
      </c>
      <c r="P483" t="str">
        <f>IF(OR(I483&lt;Visualization!$B$6,I483&gt;Visualization!$B$7),"Outlier","Normal")</f>
        <v>Outlier</v>
      </c>
    </row>
    <row r="484" spans="1:16" x14ac:dyDescent="0.35">
      <c r="A484" s="6" t="s">
        <v>491</v>
      </c>
      <c r="B484" s="15">
        <v>44949</v>
      </c>
      <c r="C484" s="6" t="s">
        <v>541</v>
      </c>
      <c r="D484" s="6" t="s">
        <v>610</v>
      </c>
      <c r="E484" s="6" t="s">
        <v>651</v>
      </c>
      <c r="F484" s="6">
        <v>2</v>
      </c>
      <c r="G484" s="6">
        <v>299</v>
      </c>
      <c r="H484" s="6">
        <v>10</v>
      </c>
      <c r="I484" s="6">
        <v>538.20000000000005</v>
      </c>
      <c r="J484" s="6" t="str">
        <f>IF(I484&gt;formulas!$B$5,"yes","no")</f>
        <v>no</v>
      </c>
      <c r="K484" s="6" t="str">
        <f t="shared" si="21"/>
        <v>yes</v>
      </c>
      <c r="L484" s="6" t="str">
        <f>IF(COUNTIF('raw data'!$B$2:$B$501,B484)&gt;1,"Yes","No")</f>
        <v>No</v>
      </c>
      <c r="M484" t="str">
        <f t="shared" si="22"/>
        <v>no</v>
      </c>
      <c r="N484" t="str">
        <f t="shared" si="23"/>
        <v>No</v>
      </c>
      <c r="O484">
        <f>SUMIF('raw data'!B$2:B$501,B484,'raw data'!I$2:I$501)</f>
        <v>538.20000000000005</v>
      </c>
      <c r="P484" t="str">
        <f>IF(OR(I484&lt;Visualization!$B$6,I484&gt;Visualization!$B$7),"Outlier","Normal")</f>
        <v>Outlier</v>
      </c>
    </row>
    <row r="485" spans="1:16" x14ac:dyDescent="0.35">
      <c r="A485" s="6" t="s">
        <v>492</v>
      </c>
      <c r="B485" s="15">
        <v>45176</v>
      </c>
      <c r="C485" s="6" t="s">
        <v>553</v>
      </c>
      <c r="D485" s="6" t="s">
        <v>613</v>
      </c>
      <c r="E485" s="6" t="s">
        <v>654</v>
      </c>
      <c r="F485" s="6">
        <v>2</v>
      </c>
      <c r="G485" s="6"/>
      <c r="H485" s="6">
        <v>10</v>
      </c>
      <c r="I485" s="6"/>
      <c r="J485" s="6" t="str">
        <f>IF(I485&gt;formulas!$B$5,"yes","no")</f>
        <v>no</v>
      </c>
      <c r="K485" s="6" t="str">
        <f t="shared" si="21"/>
        <v>yes</v>
      </c>
      <c r="L485" s="6" t="str">
        <f>IF(COUNTIF('raw data'!$B$2:$B$501,B485)&gt;1,"Yes","No")</f>
        <v>Yes</v>
      </c>
      <c r="M485" t="str">
        <f t="shared" si="22"/>
        <v>no</v>
      </c>
      <c r="N485" t="str">
        <f t="shared" si="23"/>
        <v>No</v>
      </c>
      <c r="O485">
        <f>SUMIF('raw data'!B$2:B$501,B485,'raw data'!I$2:I$501)</f>
        <v>7996</v>
      </c>
      <c r="P485" t="str">
        <f>IF(OR(I485&lt;Visualization!$B$6,I485&gt;Visualization!$B$7),"Outlier","Normal")</f>
        <v>Normal</v>
      </c>
    </row>
    <row r="486" spans="1:16" x14ac:dyDescent="0.35">
      <c r="A486" s="6" t="s">
        <v>493</v>
      </c>
      <c r="B486" s="15">
        <v>44936</v>
      </c>
      <c r="C486" s="6" t="s">
        <v>553</v>
      </c>
      <c r="D486" s="6" t="s">
        <v>611</v>
      </c>
      <c r="E486" s="6" t="s">
        <v>669</v>
      </c>
      <c r="F486" s="6">
        <v>4</v>
      </c>
      <c r="G486" s="6">
        <v>499</v>
      </c>
      <c r="H486" s="6">
        <v>5</v>
      </c>
      <c r="I486" s="6">
        <v>1896.2</v>
      </c>
      <c r="J486" s="6" t="str">
        <f>IF(I486&gt;formulas!$B$5,"yes","no")</f>
        <v>yes</v>
      </c>
      <c r="K486" s="6" t="str">
        <f t="shared" si="21"/>
        <v>yes</v>
      </c>
      <c r="L486" s="6" t="str">
        <f>IF(COUNTIF('raw data'!$B$2:$B$501,B486)&gt;1,"Yes","No")</f>
        <v>No</v>
      </c>
      <c r="M486" t="str">
        <f t="shared" si="22"/>
        <v>no</v>
      </c>
      <c r="N486" t="str">
        <f t="shared" si="23"/>
        <v>No</v>
      </c>
      <c r="O486">
        <f>SUMIF('raw data'!B$2:B$501,B486,'raw data'!I$2:I$501)</f>
        <v>1896.2</v>
      </c>
      <c r="P486" t="str">
        <f>IF(OR(I486&lt;Visualization!$B$6,I486&gt;Visualization!$B$7),"Outlier","Normal")</f>
        <v>Outlier</v>
      </c>
    </row>
    <row r="487" spans="1:16" x14ac:dyDescent="0.35">
      <c r="A487" s="6" t="s">
        <v>494</v>
      </c>
      <c r="B487" s="15">
        <v>45172</v>
      </c>
      <c r="C487" s="6" t="s">
        <v>603</v>
      </c>
      <c r="D487" s="6" t="s">
        <v>611</v>
      </c>
      <c r="E487" s="6" t="s">
        <v>690</v>
      </c>
      <c r="F487" s="6">
        <v>3</v>
      </c>
      <c r="G487" s="6">
        <v>999</v>
      </c>
      <c r="H487" s="6">
        <v>15</v>
      </c>
      <c r="I487" s="6">
        <v>2547.4499999999998</v>
      </c>
      <c r="J487" s="6" t="str">
        <f>IF(I487&gt;formulas!$B$5,"yes","no")</f>
        <v>yes</v>
      </c>
      <c r="K487" s="6" t="str">
        <f t="shared" si="21"/>
        <v>yes</v>
      </c>
      <c r="L487" s="6" t="str">
        <f>IF(COUNTIF('raw data'!$B$2:$B$501,B487)&gt;1,"Yes","No")</f>
        <v>Yes</v>
      </c>
      <c r="M487" t="str">
        <f t="shared" si="22"/>
        <v>no</v>
      </c>
      <c r="N487" t="str">
        <f t="shared" si="23"/>
        <v>Yes</v>
      </c>
      <c r="O487">
        <f>SUMIF('raw data'!B$2:B$501,B487,'raw data'!I$2:I$501)</f>
        <v>3021.5</v>
      </c>
      <c r="P487" t="str">
        <f>IF(OR(I487&lt;Visualization!$B$6,I487&gt;Visualization!$B$7),"Outlier","Normal")</f>
        <v>Outlier</v>
      </c>
    </row>
    <row r="488" spans="1:16" x14ac:dyDescent="0.35">
      <c r="A488" s="6" t="s">
        <v>495</v>
      </c>
      <c r="B488" s="15">
        <v>45251</v>
      </c>
      <c r="C488" s="6" t="s">
        <v>529</v>
      </c>
      <c r="D488" s="6" t="s">
        <v>609</v>
      </c>
      <c r="E488" s="6" t="s">
        <v>648</v>
      </c>
      <c r="F488" s="6">
        <v>3</v>
      </c>
      <c r="G488" s="6">
        <v>199</v>
      </c>
      <c r="H488" s="6">
        <v>15</v>
      </c>
      <c r="I488" s="6">
        <v>507.45</v>
      </c>
      <c r="J488" s="6" t="str">
        <f>IF(I488&gt;formulas!$B$5,"yes","no")</f>
        <v>no</v>
      </c>
      <c r="K488" s="6" t="str">
        <f t="shared" si="21"/>
        <v>yes</v>
      </c>
      <c r="L488" s="6" t="str">
        <f>IF(COUNTIF('raw data'!$B$2:$B$501,B488)&gt;1,"Yes","No")</f>
        <v>Yes</v>
      </c>
      <c r="M488" t="str">
        <f t="shared" si="22"/>
        <v>no</v>
      </c>
      <c r="N488" t="str">
        <f t="shared" si="23"/>
        <v>No</v>
      </c>
      <c r="O488">
        <f>SUMIF('raw data'!B$2:B$501,B488,'raw data'!I$2:I$501)</f>
        <v>2701.8500000000004</v>
      </c>
      <c r="P488" t="str">
        <f>IF(OR(I488&lt;Visualization!$B$6,I488&gt;Visualization!$B$7),"Outlier","Normal")</f>
        <v>Outlier</v>
      </c>
    </row>
    <row r="489" spans="1:16" x14ac:dyDescent="0.35">
      <c r="A489" s="6" t="s">
        <v>496</v>
      </c>
      <c r="B489" s="15">
        <v>45026</v>
      </c>
      <c r="C489" s="6" t="s">
        <v>514</v>
      </c>
      <c r="D489" s="6" t="s">
        <v>613</v>
      </c>
      <c r="E489" s="6" t="s">
        <v>642</v>
      </c>
      <c r="F489" s="6">
        <v>1</v>
      </c>
      <c r="G489" s="6">
        <v>199</v>
      </c>
      <c r="H489" s="6">
        <v>15</v>
      </c>
      <c r="I489" s="6">
        <v>169.15</v>
      </c>
      <c r="J489" s="6" t="str">
        <f>IF(I489&gt;formulas!$B$5,"yes","no")</f>
        <v>no</v>
      </c>
      <c r="K489" s="6" t="str">
        <f t="shared" si="21"/>
        <v>yes</v>
      </c>
      <c r="L489" s="6" t="str">
        <f>IF(COUNTIF('raw data'!$B$2:$B$501,B489)&gt;1,"Yes","No")</f>
        <v>Yes</v>
      </c>
      <c r="M489" t="str">
        <f t="shared" si="22"/>
        <v>no</v>
      </c>
      <c r="N489" t="str">
        <f t="shared" si="23"/>
        <v>No</v>
      </c>
      <c r="O489">
        <f>SUMIF('raw data'!B$2:B$501,B489,'raw data'!I$2:I$501)</f>
        <v>2024.3500000000001</v>
      </c>
      <c r="P489" t="str">
        <f>IF(OR(I489&lt;Visualization!$B$6,I489&gt;Visualization!$B$7),"Outlier","Normal")</f>
        <v>Outlier</v>
      </c>
    </row>
    <row r="490" spans="1:16" x14ac:dyDescent="0.35">
      <c r="A490" s="6" t="s">
        <v>497</v>
      </c>
      <c r="B490" s="15">
        <v>45216</v>
      </c>
      <c r="C490" s="6" t="s">
        <v>555</v>
      </c>
      <c r="D490" s="6" t="s">
        <v>612</v>
      </c>
      <c r="E490" s="6" t="s">
        <v>696</v>
      </c>
      <c r="F490" s="6">
        <v>1</v>
      </c>
      <c r="G490" s="6">
        <v>299</v>
      </c>
      <c r="H490" s="6"/>
      <c r="I490" s="6">
        <v>299</v>
      </c>
      <c r="J490" s="6" t="str">
        <f>IF(I490&gt;formulas!$B$5,"yes","no")</f>
        <v>no</v>
      </c>
      <c r="K490" s="6" t="str">
        <f t="shared" si="21"/>
        <v>no</v>
      </c>
      <c r="L490" s="6" t="str">
        <f>IF(COUNTIF('raw data'!$B$2:$B$501,B490)&gt;1,"Yes","No")</f>
        <v>Yes</v>
      </c>
      <c r="M490" t="str">
        <f t="shared" si="22"/>
        <v>no</v>
      </c>
      <c r="N490" t="str">
        <f t="shared" si="23"/>
        <v>No</v>
      </c>
      <c r="O490">
        <f>SUMIF('raw data'!B$2:B$501,B490,'raw data'!I$2:I$501)</f>
        <v>299</v>
      </c>
      <c r="P490" t="str">
        <f>IF(OR(I490&lt;Visualization!$B$6,I490&gt;Visualization!$B$7),"Outlier","Normal")</f>
        <v>Outlier</v>
      </c>
    </row>
    <row r="491" spans="1:16" x14ac:dyDescent="0.35">
      <c r="A491" s="6" t="s">
        <v>498</v>
      </c>
      <c r="B491" s="15">
        <v>45106</v>
      </c>
      <c r="C491" s="6" t="s">
        <v>563</v>
      </c>
      <c r="D491" s="6" t="s">
        <v>610</v>
      </c>
      <c r="E491" s="6" t="s">
        <v>664</v>
      </c>
      <c r="F491" s="6">
        <v>1</v>
      </c>
      <c r="G491" s="6">
        <v>499</v>
      </c>
      <c r="H491" s="6">
        <v>5</v>
      </c>
      <c r="I491" s="6">
        <v>474.05</v>
      </c>
      <c r="J491" s="6" t="str">
        <f>IF(I491&gt;formulas!$B$5,"yes","no")</f>
        <v>no</v>
      </c>
      <c r="K491" s="6" t="str">
        <f t="shared" si="21"/>
        <v>yes</v>
      </c>
      <c r="L491" s="6" t="str">
        <f>IF(COUNTIF('raw data'!$B$2:$B$501,B491)&gt;1,"Yes","No")</f>
        <v>Yes</v>
      </c>
      <c r="M491" t="str">
        <f t="shared" si="22"/>
        <v>no</v>
      </c>
      <c r="N491" t="str">
        <f t="shared" si="23"/>
        <v>No</v>
      </c>
      <c r="O491">
        <f>SUMIF('raw data'!B$2:B$501,B491,'raw data'!I$2:I$501)</f>
        <v>6469.25</v>
      </c>
      <c r="P491" t="str">
        <f>IF(OR(I491&lt;Visualization!$B$6,I491&gt;Visualization!$B$7),"Outlier","Normal")</f>
        <v>Outlier</v>
      </c>
    </row>
    <row r="492" spans="1:16" x14ac:dyDescent="0.35">
      <c r="A492" s="6" t="s">
        <v>499</v>
      </c>
      <c r="B492" s="15">
        <v>45149</v>
      </c>
      <c r="C492" s="6" t="s">
        <v>591</v>
      </c>
      <c r="D492" s="6" t="s">
        <v>612</v>
      </c>
      <c r="E492" s="6" t="s">
        <v>661</v>
      </c>
      <c r="F492" s="6">
        <v>3</v>
      </c>
      <c r="G492" s="6">
        <v>1999</v>
      </c>
      <c r="H492" s="6">
        <v>15</v>
      </c>
      <c r="I492" s="6">
        <v>5097.45</v>
      </c>
      <c r="J492" s="6" t="str">
        <f>IF(I492&gt;formulas!$B$5,"yes","no")</f>
        <v>yes</v>
      </c>
      <c r="K492" s="6" t="str">
        <f t="shared" si="21"/>
        <v>yes</v>
      </c>
      <c r="L492" s="6" t="str">
        <f>IF(COUNTIF('raw data'!$B$2:$B$501,B492)&gt;1,"Yes","No")</f>
        <v>Yes</v>
      </c>
      <c r="M492" t="str">
        <f t="shared" si="22"/>
        <v>no</v>
      </c>
      <c r="N492" t="str">
        <f t="shared" si="23"/>
        <v>Yes</v>
      </c>
      <c r="O492">
        <f>SUMIF('raw data'!B$2:B$501,B492,'raw data'!I$2:I$501)</f>
        <v>6045.5499999999993</v>
      </c>
      <c r="P492" t="str">
        <f>IF(OR(I492&lt;Visualization!$B$6,I492&gt;Visualization!$B$7),"Outlier","Normal")</f>
        <v>Outlier</v>
      </c>
    </row>
    <row r="493" spans="1:16" x14ac:dyDescent="0.35">
      <c r="A493" s="6" t="s">
        <v>500</v>
      </c>
      <c r="B493" s="15">
        <v>45176</v>
      </c>
      <c r="C493" s="6" t="s">
        <v>586</v>
      </c>
      <c r="D493" s="6" t="s">
        <v>613</v>
      </c>
      <c r="E493" s="6" t="s">
        <v>620</v>
      </c>
      <c r="F493" s="6">
        <v>4</v>
      </c>
      <c r="G493" s="6">
        <v>1999</v>
      </c>
      <c r="H493" s="6"/>
      <c r="I493" s="6">
        <v>7996</v>
      </c>
      <c r="J493" s="6" t="str">
        <f>IF(I493&gt;formulas!$B$5,"yes","no")</f>
        <v>yes</v>
      </c>
      <c r="K493" s="6" t="str">
        <f t="shared" si="21"/>
        <v>no</v>
      </c>
      <c r="L493" s="6" t="str">
        <f>IF(COUNTIF('raw data'!$B$2:$B$501,B493)&gt;1,"Yes","No")</f>
        <v>Yes</v>
      </c>
      <c r="M493" t="str">
        <f t="shared" si="22"/>
        <v>no</v>
      </c>
      <c r="N493" t="str">
        <f t="shared" si="23"/>
        <v>Yes</v>
      </c>
      <c r="O493">
        <f>SUMIF('raw data'!B$2:B$501,B493,'raw data'!I$2:I$501)</f>
        <v>7996</v>
      </c>
      <c r="P493" t="str">
        <f>IF(OR(I493&lt;Visualization!$B$6,I493&gt;Visualization!$B$7),"Outlier","Normal")</f>
        <v>Outlier</v>
      </c>
    </row>
    <row r="494" spans="1:16" x14ac:dyDescent="0.35">
      <c r="A494" s="6" t="s">
        <v>501</v>
      </c>
      <c r="B494" s="15">
        <v>45073</v>
      </c>
      <c r="C494" s="6" t="s">
        <v>524</v>
      </c>
      <c r="D494" s="6" t="s">
        <v>611</v>
      </c>
      <c r="E494" s="6" t="s">
        <v>697</v>
      </c>
      <c r="F494" s="6">
        <v>2</v>
      </c>
      <c r="G494" s="6">
        <v>1499</v>
      </c>
      <c r="H494" s="6">
        <v>10</v>
      </c>
      <c r="I494" s="6">
        <v>2698.2</v>
      </c>
      <c r="J494" s="6" t="str">
        <f>IF(I494&gt;formulas!$B$5,"yes","no")</f>
        <v>yes</v>
      </c>
      <c r="K494" s="6" t="str">
        <f t="shared" si="21"/>
        <v>yes</v>
      </c>
      <c r="L494" s="6" t="str">
        <f>IF(COUNTIF('raw data'!$B$2:$B$501,B494)&gt;1,"Yes","No")</f>
        <v>Yes</v>
      </c>
      <c r="M494" t="str">
        <f t="shared" si="22"/>
        <v>no</v>
      </c>
      <c r="N494" t="str">
        <f t="shared" si="23"/>
        <v>Yes</v>
      </c>
      <c r="O494">
        <f>SUMIF('raw data'!B$2:B$501,B494,'raw data'!I$2:I$501)</f>
        <v>12043.649999999998</v>
      </c>
      <c r="P494" t="str">
        <f>IF(OR(I494&lt;Visualization!$B$6,I494&gt;Visualization!$B$7),"Outlier","Normal")</f>
        <v>Outlier</v>
      </c>
    </row>
    <row r="495" spans="1:16" x14ac:dyDescent="0.35">
      <c r="A495" s="6" t="s">
        <v>502</v>
      </c>
      <c r="B495" s="15">
        <v>45022</v>
      </c>
      <c r="C495" s="6" t="s">
        <v>542</v>
      </c>
      <c r="D495" s="6" t="s">
        <v>611</v>
      </c>
      <c r="E495" s="6" t="s">
        <v>672</v>
      </c>
      <c r="F495" s="6">
        <v>1</v>
      </c>
      <c r="G495" s="6"/>
      <c r="H495" s="6">
        <v>0</v>
      </c>
      <c r="I495" s="6"/>
      <c r="J495" s="6" t="str">
        <f>IF(I495&gt;formulas!$B$5,"yes","no")</f>
        <v>no</v>
      </c>
      <c r="K495" s="6" t="str">
        <f t="shared" si="21"/>
        <v>no</v>
      </c>
      <c r="L495" s="6" t="str">
        <f>IF(COUNTIF('raw data'!$B$2:$B$501,B495)&gt;1,"Yes","No")</f>
        <v>Yes</v>
      </c>
      <c r="M495" t="str">
        <f t="shared" si="22"/>
        <v>no</v>
      </c>
      <c r="N495" t="str">
        <f t="shared" si="23"/>
        <v>No</v>
      </c>
      <c r="O495">
        <f>SUMIF('raw data'!B$2:B$501,B495,'raw data'!I$2:I$501)</f>
        <v>7568.65</v>
      </c>
      <c r="P495" t="str">
        <f>IF(OR(I495&lt;Visualization!$B$6,I495&gt;Visualization!$B$7),"Outlier","Normal")</f>
        <v>Normal</v>
      </c>
    </row>
    <row r="496" spans="1:16" x14ac:dyDescent="0.35">
      <c r="A496" s="6" t="s">
        <v>503</v>
      </c>
      <c r="B496" s="15">
        <v>45183</v>
      </c>
      <c r="C496" s="6" t="s">
        <v>514</v>
      </c>
      <c r="D496" s="6" t="s">
        <v>613</v>
      </c>
      <c r="E496" s="6" t="s">
        <v>684</v>
      </c>
      <c r="F496" s="6">
        <v>3</v>
      </c>
      <c r="G496" s="6">
        <v>499</v>
      </c>
      <c r="H496" s="6"/>
      <c r="I496" s="6">
        <v>1497</v>
      </c>
      <c r="J496" s="6" t="str">
        <f>IF(I496&gt;formulas!$B$5,"yes","no")</f>
        <v>yes</v>
      </c>
      <c r="K496" s="6" t="str">
        <f t="shared" si="21"/>
        <v>no</v>
      </c>
      <c r="L496" s="6" t="str">
        <f>IF(COUNTIF('raw data'!$B$2:$B$501,B496)&gt;1,"Yes","No")</f>
        <v>Yes</v>
      </c>
      <c r="M496" t="str">
        <f t="shared" si="22"/>
        <v>no</v>
      </c>
      <c r="N496" t="str">
        <f t="shared" si="23"/>
        <v>Yes</v>
      </c>
      <c r="O496">
        <f>SUMIF('raw data'!B$2:B$501,B496,'raw data'!I$2:I$501)</f>
        <v>2994</v>
      </c>
      <c r="P496" t="str">
        <f>IF(OR(I496&lt;Visualization!$B$6,I496&gt;Visualization!$B$7),"Outlier","Normal")</f>
        <v>Outlier</v>
      </c>
    </row>
    <row r="497" spans="1:16" x14ac:dyDescent="0.35">
      <c r="A497" s="6" t="s">
        <v>504</v>
      </c>
      <c r="B497" s="15">
        <v>45251</v>
      </c>
      <c r="C497" s="6" t="s">
        <v>529</v>
      </c>
      <c r="D497" s="6" t="s">
        <v>611</v>
      </c>
      <c r="E497" s="6" t="s">
        <v>643</v>
      </c>
      <c r="F497" s="6">
        <v>4</v>
      </c>
      <c r="G497" s="6">
        <v>499</v>
      </c>
      <c r="H497" s="6">
        <v>10</v>
      </c>
      <c r="I497" s="6">
        <v>1796.4</v>
      </c>
      <c r="J497" s="6" t="str">
        <f>IF(I497&gt;formulas!$B$5,"yes","no")</f>
        <v>yes</v>
      </c>
      <c r="K497" s="6" t="str">
        <f t="shared" si="21"/>
        <v>yes</v>
      </c>
      <c r="L497" s="6" t="str">
        <f>IF(COUNTIF('raw data'!$B$2:$B$501,B497)&gt;1,"Yes","No")</f>
        <v>Yes</v>
      </c>
      <c r="M497" t="str">
        <f t="shared" si="22"/>
        <v>no</v>
      </c>
      <c r="N497" t="str">
        <f t="shared" si="23"/>
        <v>Yes</v>
      </c>
      <c r="O497">
        <f>SUMIF('raw data'!B$2:B$501,B497,'raw data'!I$2:I$501)</f>
        <v>2701.8500000000004</v>
      </c>
      <c r="P497" t="str">
        <f>IF(OR(I497&lt;Visualization!$B$6,I497&gt;Visualization!$B$7),"Outlier","Normal")</f>
        <v>Outlier</v>
      </c>
    </row>
    <row r="498" spans="1:16" x14ac:dyDescent="0.35">
      <c r="A498" s="6" t="s">
        <v>505</v>
      </c>
      <c r="B498" s="15">
        <v>44930</v>
      </c>
      <c r="C498" s="6" t="s">
        <v>595</v>
      </c>
      <c r="D498" s="6" t="s">
        <v>611</v>
      </c>
      <c r="E498" s="6" t="s">
        <v>683</v>
      </c>
      <c r="F498" s="6">
        <v>3</v>
      </c>
      <c r="G498" s="6"/>
      <c r="H498" s="6">
        <v>10</v>
      </c>
      <c r="I498" s="6"/>
      <c r="J498" s="6" t="str">
        <f>IF(I498&gt;formulas!$B$5,"yes","no")</f>
        <v>no</v>
      </c>
      <c r="K498" s="6" t="str">
        <f t="shared" si="21"/>
        <v>yes</v>
      </c>
      <c r="L498" s="6" t="str">
        <f>IF(COUNTIF('raw data'!$B$2:$B$501,B498)&gt;1,"Yes","No")</f>
        <v>Yes</v>
      </c>
      <c r="M498" t="str">
        <f t="shared" si="22"/>
        <v>no</v>
      </c>
      <c r="N498" t="str">
        <f t="shared" si="23"/>
        <v>No</v>
      </c>
      <c r="O498">
        <f>SUMIF('raw data'!B$2:B$501,B498,'raw data'!I$2:I$501)</f>
        <v>807.30000000000007</v>
      </c>
      <c r="P498" t="str">
        <f>IF(OR(I498&lt;Visualization!$B$6,I498&gt;Visualization!$B$7),"Outlier","Normal")</f>
        <v>Normal</v>
      </c>
    </row>
    <row r="499" spans="1:16" x14ac:dyDescent="0.35">
      <c r="A499" s="6" t="s">
        <v>506</v>
      </c>
      <c r="B499" s="15">
        <v>44942</v>
      </c>
      <c r="C499" s="6" t="s">
        <v>581</v>
      </c>
      <c r="D499" s="6" t="s">
        <v>611</v>
      </c>
      <c r="E499" s="6" t="s">
        <v>624</v>
      </c>
      <c r="F499" s="6">
        <v>4</v>
      </c>
      <c r="G499" s="6">
        <v>1999</v>
      </c>
      <c r="H499" s="6">
        <v>0</v>
      </c>
      <c r="I499" s="6"/>
      <c r="J499" s="6" t="str">
        <f>IF(I499&gt;formulas!$B$5,"yes","no")</f>
        <v>no</v>
      </c>
      <c r="K499" s="6" t="str">
        <f t="shared" si="21"/>
        <v>no</v>
      </c>
      <c r="L499" s="6" t="str">
        <f>IF(COUNTIF('raw data'!$B$2:$B$501,B499)&gt;1,"Yes","No")</f>
        <v>No</v>
      </c>
      <c r="M499" t="str">
        <f t="shared" si="22"/>
        <v>no</v>
      </c>
      <c r="N499" t="str">
        <f t="shared" si="23"/>
        <v>No</v>
      </c>
      <c r="O499">
        <f>SUMIF('raw data'!B$2:B$501,B499,'raw data'!I$2:I$501)</f>
        <v>0</v>
      </c>
      <c r="P499" t="str">
        <f>IF(OR(I499&lt;Visualization!$B$6,I499&gt;Visualization!$B$7),"Outlier","Normal")</f>
        <v>Normal</v>
      </c>
    </row>
    <row r="500" spans="1:16" x14ac:dyDescent="0.35">
      <c r="A500" s="6" t="s">
        <v>507</v>
      </c>
      <c r="B500" s="15">
        <v>45206</v>
      </c>
      <c r="C500" s="6" t="s">
        <v>513</v>
      </c>
      <c r="D500" s="6" t="s">
        <v>610</v>
      </c>
      <c r="E500" s="6" t="s">
        <v>685</v>
      </c>
      <c r="F500" s="6">
        <v>1</v>
      </c>
      <c r="G500" s="6">
        <v>1999</v>
      </c>
      <c r="H500" s="6">
        <v>10</v>
      </c>
      <c r="I500" s="6">
        <v>1799.1</v>
      </c>
      <c r="J500" s="6" t="str">
        <f>IF(I500&gt;formulas!$B$5,"yes","no")</f>
        <v>yes</v>
      </c>
      <c r="K500" s="6" t="str">
        <f t="shared" si="21"/>
        <v>yes</v>
      </c>
      <c r="L500" s="6" t="str">
        <f>IF(COUNTIF('raw data'!$B$2:$B$501,B500)&gt;1,"Yes","No")</f>
        <v>Yes</v>
      </c>
      <c r="M500" t="str">
        <f t="shared" si="22"/>
        <v>no</v>
      </c>
      <c r="N500" t="str">
        <f t="shared" si="23"/>
        <v>Yes</v>
      </c>
      <c r="O500">
        <f>SUMIF('raw data'!B$2:B$501,B500,'raw data'!I$2:I$501)</f>
        <v>8893.6999999999989</v>
      </c>
      <c r="P500" t="str">
        <f>IF(OR(I500&lt;Visualization!$B$6,I500&gt;Visualization!$B$7),"Outlier","Normal")</f>
        <v>Outlier</v>
      </c>
    </row>
    <row r="501" spans="1:16" x14ac:dyDescent="0.35">
      <c r="A501" s="6" t="s">
        <v>508</v>
      </c>
      <c r="B501" s="15">
        <v>45262</v>
      </c>
      <c r="C501" s="6" t="s">
        <v>510</v>
      </c>
      <c r="D501" s="6" t="s">
        <v>610</v>
      </c>
      <c r="E501" s="6" t="s">
        <v>658</v>
      </c>
      <c r="F501" s="6">
        <v>1</v>
      </c>
      <c r="G501" s="6">
        <v>1999</v>
      </c>
      <c r="H501" s="6">
        <v>5</v>
      </c>
      <c r="I501" s="6">
        <v>1899.05</v>
      </c>
      <c r="J501" s="6" t="str">
        <f>IF(I501&gt;formulas!$B$5,"yes","no")</f>
        <v>yes</v>
      </c>
      <c r="K501" s="6" t="str">
        <f t="shared" si="21"/>
        <v>yes</v>
      </c>
      <c r="L501" s="6" t="str">
        <f>IF(COUNTIF('raw data'!$B$2:$B$501,B501)&gt;1,"Yes","No")</f>
        <v>No</v>
      </c>
      <c r="M501" t="str">
        <f t="shared" si="22"/>
        <v>no</v>
      </c>
      <c r="N501" t="str">
        <f t="shared" si="23"/>
        <v>No</v>
      </c>
      <c r="O501">
        <f>SUMIF('raw data'!B$2:B$501,B501,'raw data'!I$2:I$501)</f>
        <v>1899.05</v>
      </c>
      <c r="P501" t="str">
        <f>IF(OR(I501&lt;Visualization!$B$6,I501&gt;Visualization!$B$7),"Outlier","Normal")</f>
        <v>Outlier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'raw data'!I:I</xm:f>
              <xm:sqref>R2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14" sqref="B14"/>
    </sheetView>
  </sheetViews>
  <sheetFormatPr defaultRowHeight="14.5" x14ac:dyDescent="0.35"/>
  <cols>
    <col min="1" max="1" width="23.90625" customWidth="1"/>
    <col min="2" max="2" width="16.6328125" customWidth="1"/>
  </cols>
  <sheetData>
    <row r="2" spans="1:2" x14ac:dyDescent="0.35">
      <c r="A2" t="s">
        <v>712</v>
      </c>
      <c r="B2" s="3">
        <f>SUM('raw data'!I2:I502,)</f>
        <v>701382.54999999935</v>
      </c>
    </row>
    <row r="3" spans="1:2" x14ac:dyDescent="0.35">
      <c r="A3" t="s">
        <v>713</v>
      </c>
      <c r="B3">
        <f t="array" ref="B3">SUM(1/COUNTIF('raw data'!A2:A501,'raw data'!A2:A501))</f>
        <v>500</v>
      </c>
    </row>
    <row r="4" spans="1:2" x14ac:dyDescent="0.35">
      <c r="A4" t="s">
        <v>720</v>
      </c>
      <c r="B4">
        <f t="array" ref="B4">SUM(1/COUNTIF('raw data'!B2:B501,'raw data'!B2:B501))</f>
        <v>267</v>
      </c>
    </row>
    <row r="5" spans="1:2" x14ac:dyDescent="0.35">
      <c r="A5" t="s">
        <v>724</v>
      </c>
      <c r="B5" s="3">
        <f>B2/B3</f>
        <v>1402.7650999999987</v>
      </c>
    </row>
    <row r="6" spans="1:2" x14ac:dyDescent="0.35">
      <c r="A6" t="s">
        <v>728</v>
      </c>
      <c r="B6">
        <v>2.16</v>
      </c>
    </row>
    <row r="7" spans="1:2" x14ac:dyDescent="0.35">
      <c r="A7" t="s">
        <v>732</v>
      </c>
      <c r="B7" s="3">
        <f>AVERAGE('raw data'!H2:H501)</f>
        <v>10.383693045563549</v>
      </c>
    </row>
    <row r="8" spans="1:2" x14ac:dyDescent="0.35">
      <c r="A8" t="s">
        <v>733</v>
      </c>
      <c r="B8" s="3">
        <f>B2/B4</f>
        <v>2626.9009363295854</v>
      </c>
    </row>
    <row r="13" spans="1:2" x14ac:dyDescent="0.35">
      <c r="B13" t="str">
        <f>IF(B5&lt;'raw data'!I3,"yes","no")</f>
        <v>no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Views>
    <sheetView topLeftCell="A58" workbookViewId="0">
      <selection activeCell="A68" sqref="A68"/>
    </sheetView>
  </sheetViews>
  <sheetFormatPr defaultRowHeight="14.5" x14ac:dyDescent="0.35"/>
  <cols>
    <col min="1" max="1" width="24.453125" customWidth="1"/>
    <col min="2" max="2" width="27.6328125" customWidth="1"/>
  </cols>
  <sheetData>
    <row r="1" spans="1:2" x14ac:dyDescent="0.35">
      <c r="A1" t="s">
        <v>712</v>
      </c>
      <c r="B1" t="s">
        <v>717</v>
      </c>
    </row>
    <row r="2" spans="1:2" ht="13" customHeight="1" x14ac:dyDescent="0.35"/>
    <row r="3" spans="1:2" x14ac:dyDescent="0.35">
      <c r="B3" t="s">
        <v>718</v>
      </c>
    </row>
    <row r="4" spans="1:2" ht="13.5" customHeight="1" x14ac:dyDescent="0.35">
      <c r="A4" s="1"/>
    </row>
    <row r="5" spans="1:2" x14ac:dyDescent="0.35">
      <c r="A5" s="1"/>
      <c r="B5" t="s">
        <v>719</v>
      </c>
    </row>
    <row r="6" spans="1:2" x14ac:dyDescent="0.35">
      <c r="A6" s="1"/>
    </row>
    <row r="7" spans="1:2" x14ac:dyDescent="0.35">
      <c r="A7" s="1"/>
      <c r="B7" t="s">
        <v>716</v>
      </c>
    </row>
    <row r="8" spans="1:2" x14ac:dyDescent="0.35">
      <c r="A8" s="1"/>
    </row>
    <row r="10" spans="1:2" x14ac:dyDescent="0.35">
      <c r="A10" t="s">
        <v>713</v>
      </c>
      <c r="B10" t="s">
        <v>714</v>
      </c>
    </row>
    <row r="12" spans="1:2" x14ac:dyDescent="0.35">
      <c r="B12" t="s">
        <v>715</v>
      </c>
    </row>
    <row r="14" spans="1:2" x14ac:dyDescent="0.35">
      <c r="B14" t="s">
        <v>716</v>
      </c>
    </row>
    <row r="17" spans="1:2" x14ac:dyDescent="0.35">
      <c r="A17" t="s">
        <v>720</v>
      </c>
      <c r="B17" t="s">
        <v>721</v>
      </c>
    </row>
    <row r="19" spans="1:2" x14ac:dyDescent="0.35">
      <c r="B19" t="s">
        <v>722</v>
      </c>
    </row>
    <row r="21" spans="1:2" x14ac:dyDescent="0.35">
      <c r="B21" t="s">
        <v>723</v>
      </c>
    </row>
    <row r="23" spans="1:2" x14ac:dyDescent="0.35">
      <c r="A23" t="s">
        <v>724</v>
      </c>
      <c r="B23" s="2" t="s">
        <v>725</v>
      </c>
    </row>
    <row r="24" spans="1:2" x14ac:dyDescent="0.35">
      <c r="B24" s="2"/>
    </row>
    <row r="25" spans="1:2" x14ac:dyDescent="0.35">
      <c r="B25" s="2" t="s">
        <v>726</v>
      </c>
    </row>
    <row r="26" spans="1:2" x14ac:dyDescent="0.35">
      <c r="B26" s="2"/>
    </row>
    <row r="27" spans="1:2" x14ac:dyDescent="0.35">
      <c r="B27" s="2" t="s">
        <v>727</v>
      </c>
    </row>
    <row r="29" spans="1:2" x14ac:dyDescent="0.35">
      <c r="A29" t="s">
        <v>728</v>
      </c>
      <c r="B29" t="s">
        <v>729</v>
      </c>
    </row>
    <row r="31" spans="1:2" x14ac:dyDescent="0.35">
      <c r="B31" t="s">
        <v>730</v>
      </c>
    </row>
    <row r="33" spans="1:2" x14ac:dyDescent="0.35">
      <c r="B33" t="s">
        <v>731</v>
      </c>
    </row>
    <row r="35" spans="1:2" x14ac:dyDescent="0.35">
      <c r="A35" t="s">
        <v>734</v>
      </c>
      <c r="B35" t="s">
        <v>735</v>
      </c>
    </row>
    <row r="37" spans="1:2" x14ac:dyDescent="0.35">
      <c r="B37" t="s">
        <v>736</v>
      </c>
    </row>
    <row r="39" spans="1:2" x14ac:dyDescent="0.35">
      <c r="B39" t="s">
        <v>737</v>
      </c>
    </row>
    <row r="41" spans="1:2" x14ac:dyDescent="0.35">
      <c r="A41" t="s">
        <v>733</v>
      </c>
      <c r="B41" t="s">
        <v>738</v>
      </c>
    </row>
    <row r="43" spans="1:2" x14ac:dyDescent="0.35">
      <c r="B43" t="s">
        <v>739</v>
      </c>
    </row>
    <row r="45" spans="1:2" x14ac:dyDescent="0.35">
      <c r="B45" t="s">
        <v>740</v>
      </c>
    </row>
    <row r="49" spans="1:2" x14ac:dyDescent="0.35">
      <c r="A49" s="7" t="s">
        <v>742</v>
      </c>
    </row>
    <row r="50" spans="1:2" x14ac:dyDescent="0.35">
      <c r="A50" s="7" t="s">
        <v>749</v>
      </c>
    </row>
    <row r="51" spans="1:2" x14ac:dyDescent="0.35">
      <c r="A51" t="s">
        <v>743</v>
      </c>
      <c r="B51" t="s">
        <v>744</v>
      </c>
    </row>
    <row r="53" spans="1:2" x14ac:dyDescent="0.35">
      <c r="B53" t="s">
        <v>745</v>
      </c>
    </row>
    <row r="55" spans="1:2" x14ac:dyDescent="0.35">
      <c r="B55" t="s">
        <v>746</v>
      </c>
    </row>
    <row r="57" spans="1:2" x14ac:dyDescent="0.35">
      <c r="A57" t="s">
        <v>748</v>
      </c>
      <c r="B57" t="s">
        <v>750</v>
      </c>
    </row>
    <row r="59" spans="1:2" x14ac:dyDescent="0.35">
      <c r="B59" t="s">
        <v>751</v>
      </c>
    </row>
    <row r="61" spans="1:2" x14ac:dyDescent="0.35">
      <c r="B61" t="s">
        <v>752</v>
      </c>
    </row>
    <row r="63" spans="1:2" x14ac:dyDescent="0.35">
      <c r="A63" t="s">
        <v>754</v>
      </c>
      <c r="B63" t="s">
        <v>755</v>
      </c>
    </row>
    <row r="65" spans="1:2" x14ac:dyDescent="0.35">
      <c r="B65" t="s">
        <v>756</v>
      </c>
    </row>
    <row r="67" spans="1:2" x14ac:dyDescent="0.35">
      <c r="B67" t="s">
        <v>757</v>
      </c>
    </row>
    <row r="69" spans="1:2" x14ac:dyDescent="0.35">
      <c r="A69" t="s">
        <v>759</v>
      </c>
      <c r="B69" t="s">
        <v>760</v>
      </c>
    </row>
    <row r="71" spans="1:2" x14ac:dyDescent="0.35">
      <c r="B71" t="s">
        <v>761</v>
      </c>
    </row>
    <row r="73" spans="1:2" x14ac:dyDescent="0.35">
      <c r="B73" t="s">
        <v>762</v>
      </c>
    </row>
    <row r="75" spans="1:2" x14ac:dyDescent="0.35">
      <c r="A75" t="s">
        <v>763</v>
      </c>
      <c r="B75" t="s">
        <v>768</v>
      </c>
    </row>
    <row r="77" spans="1:2" x14ac:dyDescent="0.35">
      <c r="B77" t="s">
        <v>766</v>
      </c>
    </row>
    <row r="79" spans="1:2" x14ac:dyDescent="0.35">
      <c r="B79" t="s">
        <v>767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"/>
  <sheetViews>
    <sheetView zoomScale="40" zoomScaleNormal="40" workbookViewId="0">
      <selection activeCell="R11" sqref="R11"/>
    </sheetView>
  </sheetViews>
  <sheetFormatPr defaultRowHeight="14.5" x14ac:dyDescent="0.35"/>
  <cols>
    <col min="8" max="8" width="33.26953125" customWidth="1"/>
    <col min="12" max="12" width="19.6328125" customWidth="1"/>
  </cols>
  <sheetData>
    <row r="2" spans="1:8" x14ac:dyDescent="0.35">
      <c r="A2" s="13"/>
      <c r="B2" s="13"/>
    </row>
    <row r="3" spans="1:8" x14ac:dyDescent="0.35">
      <c r="A3" s="13"/>
      <c r="B3" s="13"/>
      <c r="H3" s="10"/>
    </row>
    <row r="4" spans="1:8" x14ac:dyDescent="0.35">
      <c r="A4" s="13"/>
      <c r="B4" s="13"/>
    </row>
    <row r="5" spans="1:8" x14ac:dyDescent="0.35">
      <c r="A5" s="13"/>
      <c r="B5" s="13"/>
    </row>
    <row r="6" spans="1:8" x14ac:dyDescent="0.35">
      <c r="A6" s="13"/>
      <c r="B6" s="13"/>
    </row>
    <row r="7" spans="1:8" x14ac:dyDescent="0.35">
      <c r="A7" s="13"/>
      <c r="B7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raw data</vt:lpstr>
      <vt:lpstr>formulas</vt:lpstr>
      <vt:lpstr>validation</vt:lpstr>
      <vt:lpstr>Visualization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.V</dc:creator>
  <cp:lastModifiedBy>ARJUN .V</cp:lastModifiedBy>
  <dcterms:created xsi:type="dcterms:W3CDTF">2025-12-21T06:02:19Z</dcterms:created>
  <dcterms:modified xsi:type="dcterms:W3CDTF">2025-12-22T08:10:48Z</dcterms:modified>
</cp:coreProperties>
</file>